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ед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₾&quot;"/>
    <numFmt numFmtId="165" formatCode="yyyy-mm-dd"/>
    <numFmt numFmtId="166" formatCode="DD.MM.YYYY"/>
  </numFmts>
  <fonts count="6">
    <font>
      <name val="Calibri"/>
      <family val="2"/>
      <color theme="1"/>
      <sz val="11"/>
      <scheme val="minor"/>
    </font>
    <font>
      <b val="1"/>
      <sz val="14"/>
    </font>
    <font>
      <color rgb="000000FF"/>
    </font>
    <font>
      <b val="1"/>
    </font>
    <font>
      <b val="1"/>
      <color rgb="00C00000"/>
    </font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64" fontId="2" fillId="2" borderId="0" pivotButton="0" quotePrefix="0" xfId="0"/>
    <xf numFmtId="0" fontId="5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0" fontId="3" fillId="3" borderId="1" applyAlignment="1" pivotButton="0" quotePrefix="0" xfId="0">
      <alignment horizontal="center" wrapText="1"/>
    </xf>
    <xf numFmtId="166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ont>
        <b val="1"/>
      </font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1" customWidth="1" min="3" max="3"/>
    <col width="12" customWidth="1" min="4" max="4"/>
    <col width="14" customWidth="1" min="5" max="5"/>
    <col width="12" customWidth="1" min="6" max="6"/>
    <col width="14" customWidth="1" min="7" max="7"/>
    <col width="15" customWidth="1" min="8" max="8"/>
  </cols>
  <sheetData>
    <row r="1">
      <c r="A1" s="1" t="inlineStr">
        <is>
          <t>Расчёт обедов и продлёнки</t>
        </is>
      </c>
    </row>
    <row r="2">
      <c r="A2" t="inlineStr">
        <is>
          <t>Продлёнка, лари в будний день</t>
        </is>
      </c>
      <c r="C2" s="2" t="n">
        <v>40</v>
      </c>
      <c r="E2" s="3" t="inlineStr">
        <is>
          <t>Жёлтые ячейки — для ввода. Продлёнка начисляется сама за каждый будний день до сегодня. Не было продлёнки — поставьте x.</t>
        </is>
      </c>
    </row>
    <row r="3">
      <c r="A3" t="inlineStr">
        <is>
          <t>Начислено всего</t>
        </is>
      </c>
      <c r="C3" s="4">
        <f>SUM(G7:G400)</f>
        <v/>
      </c>
    </row>
    <row r="4">
      <c r="A4" t="inlineStr">
        <is>
          <t>Оплачено всего</t>
        </is>
      </c>
      <c r="C4" s="4">
        <f>SUM(F7:F400)</f>
        <v/>
      </c>
    </row>
    <row r="5">
      <c r="A5" s="5" t="inlineStr">
        <is>
          <t>ДОЛГ НА СЕГОДНЯ</t>
        </is>
      </c>
      <c r="C5" s="6">
        <f>C3-C4</f>
        <v/>
      </c>
    </row>
    <row r="6">
      <c r="A6" s="7" t="inlineStr">
        <is>
          <t>Дата</t>
        </is>
      </c>
      <c r="B6" s="7" t="inlineStr">
        <is>
          <t>День</t>
        </is>
      </c>
      <c r="C6" s="7" t="inlineStr">
        <is>
          <t>Не было (x)</t>
        </is>
      </c>
      <c r="D6" s="7" t="inlineStr">
        <is>
          <t>Продлёнка</t>
        </is>
      </c>
      <c r="E6" s="7" t="inlineStr">
        <is>
          <t>Дополнительно</t>
        </is>
      </c>
      <c r="F6" s="7" t="inlineStr">
        <is>
          <t>Оплачено</t>
        </is>
      </c>
      <c r="G6" s="7" t="inlineStr">
        <is>
          <t>Сумма за день</t>
        </is>
      </c>
      <c r="H6" s="7" t="inlineStr">
        <is>
          <t>Остаток долга</t>
        </is>
      </c>
    </row>
    <row r="7">
      <c r="A7" s="8" t="n">
        <v>46266</v>
      </c>
      <c r="B7" t="inlineStr">
        <is>
          <t>Вт</t>
        </is>
      </c>
      <c r="C7" s="9" t="n"/>
      <c r="D7" s="4">
        <f>IF(AND(A7&lt;=TODAY(),C7=""),$C$2,0)</f>
        <v/>
      </c>
      <c r="E7" s="2" t="n"/>
      <c r="F7" s="2" t="n"/>
      <c r="G7" s="4">
        <f>D7+E7</f>
        <v/>
      </c>
      <c r="H7" s="4">
        <f>IF(A7&gt;TODAY(),"",G7-F7)</f>
        <v/>
      </c>
    </row>
    <row r="8">
      <c r="A8" s="8" t="n">
        <v>46267</v>
      </c>
      <c r="B8" t="inlineStr">
        <is>
          <t>Ср</t>
        </is>
      </c>
      <c r="C8" s="9" t="n"/>
      <c r="D8" s="4">
        <f>IF(AND(A8&lt;=TODAY(),C8=""),$C$2,0)</f>
        <v/>
      </c>
      <c r="E8" s="2" t="n"/>
      <c r="F8" s="2" t="n"/>
      <c r="G8" s="4">
        <f>D8+E8</f>
        <v/>
      </c>
      <c r="H8" s="4">
        <f>IF(A8&gt;TODAY(),"",N(H7)+G8-F8)</f>
        <v/>
      </c>
    </row>
    <row r="9">
      <c r="A9" s="8" t="n">
        <v>46268</v>
      </c>
      <c r="B9" t="inlineStr">
        <is>
          <t>Чт</t>
        </is>
      </c>
      <c r="C9" s="9" t="n"/>
      <c r="D9" s="4">
        <f>IF(AND(A9&lt;=TODAY(),C9=""),$C$2,0)</f>
        <v/>
      </c>
      <c r="E9" s="2" t="n"/>
      <c r="F9" s="2" t="n"/>
      <c r="G9" s="4">
        <f>D9+E9</f>
        <v/>
      </c>
      <c r="H9" s="4">
        <f>IF(A9&gt;TODAY(),"",N(H8)+G9-F9)</f>
        <v/>
      </c>
    </row>
    <row r="10">
      <c r="A10" s="8" t="n">
        <v>46269</v>
      </c>
      <c r="B10" t="inlineStr">
        <is>
          <t>Пт</t>
        </is>
      </c>
      <c r="C10" s="9" t="n"/>
      <c r="D10" s="4">
        <f>IF(AND(A10&lt;=TODAY(),C10=""),$C$2,0)</f>
        <v/>
      </c>
      <c r="E10" s="2" t="n"/>
      <c r="F10" s="2" t="n"/>
      <c r="G10" s="4">
        <f>D10+E10</f>
        <v/>
      </c>
      <c r="H10" s="4">
        <f>IF(A10&gt;TODAY(),"",N(H9)+G10-F10)</f>
        <v/>
      </c>
    </row>
    <row r="11">
      <c r="A11" s="8" t="n">
        <v>46272</v>
      </c>
      <c r="B11" t="inlineStr">
        <is>
          <t>Пн</t>
        </is>
      </c>
      <c r="C11" s="9" t="n"/>
      <c r="D11" s="4">
        <f>IF(AND(A11&lt;=TODAY(),C11=""),$C$2,0)</f>
        <v/>
      </c>
      <c r="E11" s="2" t="n"/>
      <c r="F11" s="2" t="n"/>
      <c r="G11" s="4">
        <f>D11+E11</f>
        <v/>
      </c>
      <c r="H11" s="4">
        <f>IF(A11&gt;TODAY(),"",N(H10)+G11-F11)</f>
        <v/>
      </c>
    </row>
    <row r="12">
      <c r="A12" s="8" t="n">
        <v>46273</v>
      </c>
      <c r="B12" t="inlineStr">
        <is>
          <t>Вт</t>
        </is>
      </c>
      <c r="C12" s="9" t="n"/>
      <c r="D12" s="4">
        <f>IF(AND(A12&lt;=TODAY(),C12=""),$C$2,0)</f>
        <v/>
      </c>
      <c r="E12" s="2" t="n"/>
      <c r="F12" s="2" t="n"/>
      <c r="G12" s="4">
        <f>D12+E12</f>
        <v/>
      </c>
      <c r="H12" s="4">
        <f>IF(A12&gt;TODAY(),"",N(H11)+G12-F12)</f>
        <v/>
      </c>
    </row>
    <row r="13">
      <c r="A13" s="8" t="n">
        <v>46274</v>
      </c>
      <c r="B13" t="inlineStr">
        <is>
          <t>Ср</t>
        </is>
      </c>
      <c r="C13" s="9" t="n"/>
      <c r="D13" s="4">
        <f>IF(AND(A13&lt;=TODAY(),C13=""),$C$2,0)</f>
        <v/>
      </c>
      <c r="E13" s="2" t="n"/>
      <c r="F13" s="2" t="n"/>
      <c r="G13" s="4">
        <f>D13+E13</f>
        <v/>
      </c>
      <c r="H13" s="4">
        <f>IF(A13&gt;TODAY(),"",N(H12)+G13-F13)</f>
        <v/>
      </c>
    </row>
    <row r="14">
      <c r="A14" s="8" t="n">
        <v>46275</v>
      </c>
      <c r="B14" t="inlineStr">
        <is>
          <t>Чт</t>
        </is>
      </c>
      <c r="C14" s="9" t="n"/>
      <c r="D14" s="4">
        <f>IF(AND(A14&lt;=TODAY(),C14=""),$C$2,0)</f>
        <v/>
      </c>
      <c r="E14" s="2" t="n"/>
      <c r="F14" s="2" t="n"/>
      <c r="G14" s="4">
        <f>D14+E14</f>
        <v/>
      </c>
      <c r="H14" s="4">
        <f>IF(A14&gt;TODAY(),"",N(H13)+G14-F14)</f>
        <v/>
      </c>
    </row>
    <row r="15">
      <c r="A15" s="8" t="n">
        <v>46276</v>
      </c>
      <c r="B15" t="inlineStr">
        <is>
          <t>Пт</t>
        </is>
      </c>
      <c r="C15" s="9" t="n"/>
      <c r="D15" s="4">
        <f>IF(AND(A15&lt;=TODAY(),C15=""),$C$2,0)</f>
        <v/>
      </c>
      <c r="E15" s="2" t="n"/>
      <c r="F15" s="2" t="n"/>
      <c r="G15" s="4">
        <f>D15+E15</f>
        <v/>
      </c>
      <c r="H15" s="4">
        <f>IF(A15&gt;TODAY(),"",N(H14)+G15-F15)</f>
        <v/>
      </c>
    </row>
    <row r="16">
      <c r="A16" s="8" t="n">
        <v>46279</v>
      </c>
      <c r="B16" t="inlineStr">
        <is>
          <t>Пн</t>
        </is>
      </c>
      <c r="C16" s="9" t="n"/>
      <c r="D16" s="4">
        <f>IF(AND(A16&lt;=TODAY(),C16=""),$C$2,0)</f>
        <v/>
      </c>
      <c r="E16" s="2" t="n"/>
      <c r="F16" s="2" t="n"/>
      <c r="G16" s="4">
        <f>D16+E16</f>
        <v/>
      </c>
      <c r="H16" s="4">
        <f>IF(A16&gt;TODAY(),"",N(H15)+G16-F16)</f>
        <v/>
      </c>
    </row>
    <row r="17">
      <c r="A17" s="8" t="n">
        <v>46280</v>
      </c>
      <c r="B17" t="inlineStr">
        <is>
          <t>Вт</t>
        </is>
      </c>
      <c r="C17" s="9" t="n"/>
      <c r="D17" s="4">
        <f>IF(AND(A17&lt;=TODAY(),C17=""),$C$2,0)</f>
        <v/>
      </c>
      <c r="E17" s="2" t="n"/>
      <c r="F17" s="2" t="n"/>
      <c r="G17" s="4">
        <f>D17+E17</f>
        <v/>
      </c>
      <c r="H17" s="4">
        <f>IF(A17&gt;TODAY(),"",N(H16)+G17-F17)</f>
        <v/>
      </c>
    </row>
    <row r="18">
      <c r="A18" s="8" t="n">
        <v>46281</v>
      </c>
      <c r="B18" t="inlineStr">
        <is>
          <t>Ср</t>
        </is>
      </c>
      <c r="C18" s="9" t="n"/>
      <c r="D18" s="4">
        <f>IF(AND(A18&lt;=TODAY(),C18=""),$C$2,0)</f>
        <v/>
      </c>
      <c r="E18" s="2" t="n"/>
      <c r="F18" s="2" t="n"/>
      <c r="G18" s="4">
        <f>D18+E18</f>
        <v/>
      </c>
      <c r="H18" s="4">
        <f>IF(A18&gt;TODAY(),"",N(H17)+G18-F18)</f>
        <v/>
      </c>
    </row>
    <row r="19">
      <c r="A19" s="8" t="n">
        <v>46282</v>
      </c>
      <c r="B19" t="inlineStr">
        <is>
          <t>Чт</t>
        </is>
      </c>
      <c r="C19" s="9" t="n"/>
      <c r="D19" s="4">
        <f>IF(AND(A19&lt;=TODAY(),C19=""),$C$2,0)</f>
        <v/>
      </c>
      <c r="E19" s="2" t="n"/>
      <c r="F19" s="2" t="n"/>
      <c r="G19" s="4">
        <f>D19+E19</f>
        <v/>
      </c>
      <c r="H19" s="4">
        <f>IF(A19&gt;TODAY(),"",N(H18)+G19-F19)</f>
        <v/>
      </c>
    </row>
    <row r="20">
      <c r="A20" s="8" t="n">
        <v>46283</v>
      </c>
      <c r="B20" t="inlineStr">
        <is>
          <t>Пт</t>
        </is>
      </c>
      <c r="C20" s="9" t="n"/>
      <c r="D20" s="4">
        <f>IF(AND(A20&lt;=TODAY(),C20=""),$C$2,0)</f>
        <v/>
      </c>
      <c r="E20" s="2" t="n"/>
      <c r="F20" s="2" t="n"/>
      <c r="G20" s="4">
        <f>D20+E20</f>
        <v/>
      </c>
      <c r="H20" s="4">
        <f>IF(A20&gt;TODAY(),"",N(H19)+G20-F20)</f>
        <v/>
      </c>
    </row>
    <row r="21">
      <c r="A21" s="8" t="n">
        <v>46286</v>
      </c>
      <c r="B21" t="inlineStr">
        <is>
          <t>Пн</t>
        </is>
      </c>
      <c r="C21" s="9" t="n"/>
      <c r="D21" s="4">
        <f>IF(AND(A21&lt;=TODAY(),C21=""),$C$2,0)</f>
        <v/>
      </c>
      <c r="E21" s="2" t="n"/>
      <c r="F21" s="2" t="n"/>
      <c r="G21" s="4">
        <f>D21+E21</f>
        <v/>
      </c>
      <c r="H21" s="4">
        <f>IF(A21&gt;TODAY(),"",N(H20)+G21-F21)</f>
        <v/>
      </c>
    </row>
    <row r="22">
      <c r="A22" s="8" t="n">
        <v>46287</v>
      </c>
      <c r="B22" t="inlineStr">
        <is>
          <t>Вт</t>
        </is>
      </c>
      <c r="C22" s="9" t="n"/>
      <c r="D22" s="4">
        <f>IF(AND(A22&lt;=TODAY(),C22=""),$C$2,0)</f>
        <v/>
      </c>
      <c r="E22" s="2" t="n"/>
      <c r="F22" s="2" t="n"/>
      <c r="G22" s="4">
        <f>D22+E22</f>
        <v/>
      </c>
      <c r="H22" s="4">
        <f>IF(A22&gt;TODAY(),"",N(H21)+G22-F22)</f>
        <v/>
      </c>
    </row>
    <row r="23">
      <c r="A23" s="8" t="n">
        <v>46288</v>
      </c>
      <c r="B23" t="inlineStr">
        <is>
          <t>Ср</t>
        </is>
      </c>
      <c r="C23" s="9" t="n"/>
      <c r="D23" s="4">
        <f>IF(AND(A23&lt;=TODAY(),C23=""),$C$2,0)</f>
        <v/>
      </c>
      <c r="E23" s="2" t="n"/>
      <c r="F23" s="2" t="n"/>
      <c r="G23" s="4">
        <f>D23+E23</f>
        <v/>
      </c>
      <c r="H23" s="4">
        <f>IF(A23&gt;TODAY(),"",N(H22)+G23-F23)</f>
        <v/>
      </c>
    </row>
    <row r="24">
      <c r="A24" s="8" t="n">
        <v>46289</v>
      </c>
      <c r="B24" t="inlineStr">
        <is>
          <t>Чт</t>
        </is>
      </c>
      <c r="C24" s="9" t="n"/>
      <c r="D24" s="4">
        <f>IF(AND(A24&lt;=TODAY(),C24=""),$C$2,0)</f>
        <v/>
      </c>
      <c r="E24" s="2" t="n"/>
      <c r="F24" s="2" t="n"/>
      <c r="G24" s="4">
        <f>D24+E24</f>
        <v/>
      </c>
      <c r="H24" s="4">
        <f>IF(A24&gt;TODAY(),"",N(H23)+G24-F24)</f>
        <v/>
      </c>
    </row>
    <row r="25">
      <c r="A25" s="8" t="n">
        <v>46290</v>
      </c>
      <c r="B25" t="inlineStr">
        <is>
          <t>Пт</t>
        </is>
      </c>
      <c r="C25" s="9" t="n"/>
      <c r="D25" s="4">
        <f>IF(AND(A25&lt;=TODAY(),C25=""),$C$2,0)</f>
        <v/>
      </c>
      <c r="E25" s="2" t="n"/>
      <c r="F25" s="2" t="n"/>
      <c r="G25" s="4">
        <f>D25+E25</f>
        <v/>
      </c>
      <c r="H25" s="4">
        <f>IF(A25&gt;TODAY(),"",N(H24)+G25-F25)</f>
        <v/>
      </c>
    </row>
    <row r="26">
      <c r="A26" s="8" t="n">
        <v>46293</v>
      </c>
      <c r="B26" t="inlineStr">
        <is>
          <t>Пн</t>
        </is>
      </c>
      <c r="C26" s="9" t="n"/>
      <c r="D26" s="4">
        <f>IF(AND(A26&lt;=TODAY(),C26=""),$C$2,0)</f>
        <v/>
      </c>
      <c r="E26" s="2" t="n"/>
      <c r="F26" s="2" t="n"/>
      <c r="G26" s="4">
        <f>D26+E26</f>
        <v/>
      </c>
      <c r="H26" s="4">
        <f>IF(A26&gt;TODAY(),"",N(H25)+G26-F26)</f>
        <v/>
      </c>
    </row>
    <row r="27">
      <c r="A27" s="8" t="n">
        <v>46294</v>
      </c>
      <c r="B27" t="inlineStr">
        <is>
          <t>Вт</t>
        </is>
      </c>
      <c r="C27" s="9" t="n"/>
      <c r="D27" s="4">
        <f>IF(AND(A27&lt;=TODAY(),C27=""),$C$2,0)</f>
        <v/>
      </c>
      <c r="E27" s="2" t="n"/>
      <c r="F27" s="2" t="n"/>
      <c r="G27" s="4">
        <f>D27+E27</f>
        <v/>
      </c>
      <c r="H27" s="4">
        <f>IF(A27&gt;TODAY(),"",N(H26)+G27-F27)</f>
        <v/>
      </c>
    </row>
    <row r="28">
      <c r="A28" s="8" t="n">
        <v>46295</v>
      </c>
      <c r="B28" t="inlineStr">
        <is>
          <t>Ср</t>
        </is>
      </c>
      <c r="C28" s="9" t="n"/>
      <c r="D28" s="4">
        <f>IF(AND(A28&lt;=TODAY(),C28=""),$C$2,0)</f>
        <v/>
      </c>
      <c r="E28" s="2" t="n"/>
      <c r="F28" s="2" t="n"/>
      <c r="G28" s="4">
        <f>D28+E28</f>
        <v/>
      </c>
      <c r="H28" s="4">
        <f>IF(A28&gt;TODAY(),"",N(H27)+G28-F28)</f>
        <v/>
      </c>
    </row>
    <row r="29">
      <c r="A29" s="8" t="n">
        <v>46296</v>
      </c>
      <c r="B29" t="inlineStr">
        <is>
          <t>Чт</t>
        </is>
      </c>
      <c r="C29" s="9" t="n"/>
      <c r="D29" s="4">
        <f>IF(AND(A29&lt;=TODAY(),C29=""),$C$2,0)</f>
        <v/>
      </c>
      <c r="E29" s="2" t="n"/>
      <c r="F29" s="2" t="n"/>
      <c r="G29" s="4">
        <f>D29+E29</f>
        <v/>
      </c>
      <c r="H29" s="4">
        <f>IF(A29&gt;TODAY(),"",N(H28)+G29-F29)</f>
        <v/>
      </c>
    </row>
    <row r="30">
      <c r="A30" s="8" t="n">
        <v>46297</v>
      </c>
      <c r="B30" t="inlineStr">
        <is>
          <t>Пт</t>
        </is>
      </c>
      <c r="C30" s="9" t="n"/>
      <c r="D30" s="4">
        <f>IF(AND(A30&lt;=TODAY(),C30=""),$C$2,0)</f>
        <v/>
      </c>
      <c r="E30" s="2" t="n"/>
      <c r="F30" s="2" t="n"/>
      <c r="G30" s="4">
        <f>D30+E30</f>
        <v/>
      </c>
      <c r="H30" s="4">
        <f>IF(A30&gt;TODAY(),"",N(H29)+G30-F30)</f>
        <v/>
      </c>
    </row>
    <row r="31">
      <c r="A31" s="8" t="n">
        <v>46300</v>
      </c>
      <c r="B31" t="inlineStr">
        <is>
          <t>Пн</t>
        </is>
      </c>
      <c r="C31" s="9" t="n"/>
      <c r="D31" s="4">
        <f>IF(AND(A31&lt;=TODAY(),C31=""),$C$2,0)</f>
        <v/>
      </c>
      <c r="E31" s="2" t="n"/>
      <c r="F31" s="2" t="n"/>
      <c r="G31" s="4">
        <f>D31+E31</f>
        <v/>
      </c>
      <c r="H31" s="4">
        <f>IF(A31&gt;TODAY(),"",N(H30)+G31-F31)</f>
        <v/>
      </c>
    </row>
    <row r="32">
      <c r="A32" s="8" t="n">
        <v>46301</v>
      </c>
      <c r="B32" t="inlineStr">
        <is>
          <t>Вт</t>
        </is>
      </c>
      <c r="C32" s="9" t="n"/>
      <c r="D32" s="4">
        <f>IF(AND(A32&lt;=TODAY(),C32=""),$C$2,0)</f>
        <v/>
      </c>
      <c r="E32" s="2" t="n"/>
      <c r="F32" s="2" t="n"/>
      <c r="G32" s="4">
        <f>D32+E32</f>
        <v/>
      </c>
      <c r="H32" s="4">
        <f>IF(A32&gt;TODAY(),"",N(H31)+G32-F32)</f>
        <v/>
      </c>
    </row>
    <row r="33">
      <c r="A33" s="8" t="n">
        <v>46302</v>
      </c>
      <c r="B33" t="inlineStr">
        <is>
          <t>Ср</t>
        </is>
      </c>
      <c r="C33" s="9" t="n"/>
      <c r="D33" s="4">
        <f>IF(AND(A33&lt;=TODAY(),C33=""),$C$2,0)</f>
        <v/>
      </c>
      <c r="E33" s="2" t="n"/>
      <c r="F33" s="2" t="n"/>
      <c r="G33" s="4">
        <f>D33+E33</f>
        <v/>
      </c>
      <c r="H33" s="4">
        <f>IF(A33&gt;TODAY(),"",N(H32)+G33-F33)</f>
        <v/>
      </c>
    </row>
    <row r="34">
      <c r="A34" s="8" t="n">
        <v>46303</v>
      </c>
      <c r="B34" t="inlineStr">
        <is>
          <t>Чт</t>
        </is>
      </c>
      <c r="C34" s="9" t="n"/>
      <c r="D34" s="4">
        <f>IF(AND(A34&lt;=TODAY(),C34=""),$C$2,0)</f>
        <v/>
      </c>
      <c r="E34" s="2" t="n"/>
      <c r="F34" s="2" t="n"/>
      <c r="G34" s="4">
        <f>D34+E34</f>
        <v/>
      </c>
      <c r="H34" s="4">
        <f>IF(A34&gt;TODAY(),"",N(H33)+G34-F34)</f>
        <v/>
      </c>
    </row>
    <row r="35">
      <c r="A35" s="8" t="n">
        <v>46304</v>
      </c>
      <c r="B35" t="inlineStr">
        <is>
          <t>Пт</t>
        </is>
      </c>
      <c r="C35" s="9" t="n"/>
      <c r="D35" s="4">
        <f>IF(AND(A35&lt;=TODAY(),C35=""),$C$2,0)</f>
        <v/>
      </c>
      <c r="E35" s="2" t="n"/>
      <c r="F35" s="2" t="n"/>
      <c r="G35" s="4">
        <f>D35+E35</f>
        <v/>
      </c>
      <c r="H35" s="4">
        <f>IF(A35&gt;TODAY(),"",N(H34)+G35-F35)</f>
        <v/>
      </c>
    </row>
    <row r="36">
      <c r="A36" s="8" t="n">
        <v>46307</v>
      </c>
      <c r="B36" t="inlineStr">
        <is>
          <t>Пн</t>
        </is>
      </c>
      <c r="C36" s="9" t="n"/>
      <c r="D36" s="4">
        <f>IF(AND(A36&lt;=TODAY(),C36=""),$C$2,0)</f>
        <v/>
      </c>
      <c r="E36" s="2" t="n"/>
      <c r="F36" s="2" t="n"/>
      <c r="G36" s="4">
        <f>D36+E36</f>
        <v/>
      </c>
      <c r="H36" s="4">
        <f>IF(A36&gt;TODAY(),"",N(H35)+G36-F36)</f>
        <v/>
      </c>
    </row>
    <row r="37">
      <c r="A37" s="8" t="n">
        <v>46308</v>
      </c>
      <c r="B37" t="inlineStr">
        <is>
          <t>Вт</t>
        </is>
      </c>
      <c r="C37" s="9" t="n"/>
      <c r="D37" s="4">
        <f>IF(AND(A37&lt;=TODAY(),C37=""),$C$2,0)</f>
        <v/>
      </c>
      <c r="E37" s="2" t="n"/>
      <c r="F37" s="2" t="n"/>
      <c r="G37" s="4">
        <f>D37+E37</f>
        <v/>
      </c>
      <c r="H37" s="4">
        <f>IF(A37&gt;TODAY(),"",N(H36)+G37-F37)</f>
        <v/>
      </c>
    </row>
    <row r="38">
      <c r="A38" s="8" t="n">
        <v>46309</v>
      </c>
      <c r="B38" t="inlineStr">
        <is>
          <t>Ср</t>
        </is>
      </c>
      <c r="C38" s="9" t="n"/>
      <c r="D38" s="4">
        <f>IF(AND(A38&lt;=TODAY(),C38=""),$C$2,0)</f>
        <v/>
      </c>
      <c r="E38" s="2" t="n"/>
      <c r="F38" s="2" t="n"/>
      <c r="G38" s="4">
        <f>D38+E38</f>
        <v/>
      </c>
      <c r="H38" s="4">
        <f>IF(A38&gt;TODAY(),"",N(H37)+G38-F38)</f>
        <v/>
      </c>
    </row>
    <row r="39">
      <c r="A39" s="8" t="n">
        <v>46310</v>
      </c>
      <c r="B39" t="inlineStr">
        <is>
          <t>Чт</t>
        </is>
      </c>
      <c r="C39" s="9" t="n"/>
      <c r="D39" s="4">
        <f>IF(AND(A39&lt;=TODAY(),C39=""),$C$2,0)</f>
        <v/>
      </c>
      <c r="E39" s="2" t="n"/>
      <c r="F39" s="2" t="n"/>
      <c r="G39" s="4">
        <f>D39+E39</f>
        <v/>
      </c>
      <c r="H39" s="4">
        <f>IF(A39&gt;TODAY(),"",N(H38)+G39-F39)</f>
        <v/>
      </c>
    </row>
    <row r="40">
      <c r="A40" s="8" t="n">
        <v>46311</v>
      </c>
      <c r="B40" t="inlineStr">
        <is>
          <t>Пт</t>
        </is>
      </c>
      <c r="C40" s="9" t="n"/>
      <c r="D40" s="4">
        <f>IF(AND(A40&lt;=TODAY(),C40=""),$C$2,0)</f>
        <v/>
      </c>
      <c r="E40" s="2" t="n"/>
      <c r="F40" s="2" t="n"/>
      <c r="G40" s="4">
        <f>D40+E40</f>
        <v/>
      </c>
      <c r="H40" s="4">
        <f>IF(A40&gt;TODAY(),"",N(H39)+G40-F40)</f>
        <v/>
      </c>
    </row>
    <row r="41">
      <c r="A41" s="8" t="n">
        <v>46314</v>
      </c>
      <c r="B41" t="inlineStr">
        <is>
          <t>Пн</t>
        </is>
      </c>
      <c r="C41" s="9" t="n"/>
      <c r="D41" s="4">
        <f>IF(AND(A41&lt;=TODAY(),C41=""),$C$2,0)</f>
        <v/>
      </c>
      <c r="E41" s="2" t="n"/>
      <c r="F41" s="2" t="n"/>
      <c r="G41" s="4">
        <f>D41+E41</f>
        <v/>
      </c>
      <c r="H41" s="4">
        <f>IF(A41&gt;TODAY(),"",N(H40)+G41-F41)</f>
        <v/>
      </c>
    </row>
    <row r="42">
      <c r="A42" s="8" t="n">
        <v>46315</v>
      </c>
      <c r="B42" t="inlineStr">
        <is>
          <t>Вт</t>
        </is>
      </c>
      <c r="C42" s="9" t="n"/>
      <c r="D42" s="4">
        <f>IF(AND(A42&lt;=TODAY(),C42=""),$C$2,0)</f>
        <v/>
      </c>
      <c r="E42" s="2" t="n"/>
      <c r="F42" s="2" t="n"/>
      <c r="G42" s="4">
        <f>D42+E42</f>
        <v/>
      </c>
      <c r="H42" s="4">
        <f>IF(A42&gt;TODAY(),"",N(H41)+G42-F42)</f>
        <v/>
      </c>
    </row>
    <row r="43">
      <c r="A43" s="8" t="n">
        <v>46316</v>
      </c>
      <c r="B43" t="inlineStr">
        <is>
          <t>Ср</t>
        </is>
      </c>
      <c r="C43" s="9" t="n"/>
      <c r="D43" s="4">
        <f>IF(AND(A43&lt;=TODAY(),C43=""),$C$2,0)</f>
        <v/>
      </c>
      <c r="E43" s="2" t="n"/>
      <c r="F43" s="2" t="n"/>
      <c r="G43" s="4">
        <f>D43+E43</f>
        <v/>
      </c>
      <c r="H43" s="4">
        <f>IF(A43&gt;TODAY(),"",N(H42)+G43-F43)</f>
        <v/>
      </c>
    </row>
    <row r="44">
      <c r="A44" s="8" t="n">
        <v>46317</v>
      </c>
      <c r="B44" t="inlineStr">
        <is>
          <t>Чт</t>
        </is>
      </c>
      <c r="C44" s="9" t="n"/>
      <c r="D44" s="4">
        <f>IF(AND(A44&lt;=TODAY(),C44=""),$C$2,0)</f>
        <v/>
      </c>
      <c r="E44" s="2" t="n"/>
      <c r="F44" s="2" t="n"/>
      <c r="G44" s="4">
        <f>D44+E44</f>
        <v/>
      </c>
      <c r="H44" s="4">
        <f>IF(A44&gt;TODAY(),"",N(H43)+G44-F44)</f>
        <v/>
      </c>
    </row>
    <row r="45">
      <c r="A45" s="8" t="n">
        <v>46318</v>
      </c>
      <c r="B45" t="inlineStr">
        <is>
          <t>Пт</t>
        </is>
      </c>
      <c r="C45" s="9" t="n"/>
      <c r="D45" s="4">
        <f>IF(AND(A45&lt;=TODAY(),C45=""),$C$2,0)</f>
        <v/>
      </c>
      <c r="E45" s="2" t="n"/>
      <c r="F45" s="2" t="n"/>
      <c r="G45" s="4">
        <f>D45+E45</f>
        <v/>
      </c>
      <c r="H45" s="4">
        <f>IF(A45&gt;TODAY(),"",N(H44)+G45-F45)</f>
        <v/>
      </c>
    </row>
    <row r="46">
      <c r="A46" s="8" t="n">
        <v>46321</v>
      </c>
      <c r="B46" t="inlineStr">
        <is>
          <t>Пн</t>
        </is>
      </c>
      <c r="C46" s="9" t="n"/>
      <c r="D46" s="4">
        <f>IF(AND(A46&lt;=TODAY(),C46=""),$C$2,0)</f>
        <v/>
      </c>
      <c r="E46" s="2" t="n"/>
      <c r="F46" s="2" t="n"/>
      <c r="G46" s="4">
        <f>D46+E46</f>
        <v/>
      </c>
      <c r="H46" s="4">
        <f>IF(A46&gt;TODAY(),"",N(H45)+G46-F46)</f>
        <v/>
      </c>
    </row>
    <row r="47">
      <c r="A47" s="8" t="n">
        <v>46322</v>
      </c>
      <c r="B47" t="inlineStr">
        <is>
          <t>Вт</t>
        </is>
      </c>
      <c r="C47" s="9" t="n"/>
      <c r="D47" s="4">
        <f>IF(AND(A47&lt;=TODAY(),C47=""),$C$2,0)</f>
        <v/>
      </c>
      <c r="E47" s="2" t="n"/>
      <c r="F47" s="2" t="n"/>
      <c r="G47" s="4">
        <f>D47+E47</f>
        <v/>
      </c>
      <c r="H47" s="4">
        <f>IF(A47&gt;TODAY(),"",N(H46)+G47-F47)</f>
        <v/>
      </c>
    </row>
    <row r="48">
      <c r="A48" s="8" t="n">
        <v>46323</v>
      </c>
      <c r="B48" t="inlineStr">
        <is>
          <t>Ср</t>
        </is>
      </c>
      <c r="C48" s="9" t="n"/>
      <c r="D48" s="4">
        <f>IF(AND(A48&lt;=TODAY(),C48=""),$C$2,0)</f>
        <v/>
      </c>
      <c r="E48" s="2" t="n"/>
      <c r="F48" s="2" t="n"/>
      <c r="G48" s="4">
        <f>D48+E48</f>
        <v/>
      </c>
      <c r="H48" s="4">
        <f>IF(A48&gt;TODAY(),"",N(H47)+G48-F48)</f>
        <v/>
      </c>
    </row>
    <row r="49">
      <c r="A49" s="8" t="n">
        <v>46324</v>
      </c>
      <c r="B49" t="inlineStr">
        <is>
          <t>Чт</t>
        </is>
      </c>
      <c r="C49" s="9" t="n"/>
      <c r="D49" s="4">
        <f>IF(AND(A49&lt;=TODAY(),C49=""),$C$2,0)</f>
        <v/>
      </c>
      <c r="E49" s="2" t="n"/>
      <c r="F49" s="2" t="n"/>
      <c r="G49" s="4">
        <f>D49+E49</f>
        <v/>
      </c>
      <c r="H49" s="4">
        <f>IF(A49&gt;TODAY(),"",N(H48)+G49-F49)</f>
        <v/>
      </c>
    </row>
    <row r="50">
      <c r="A50" s="8" t="n">
        <v>46325</v>
      </c>
      <c r="B50" t="inlineStr">
        <is>
          <t>Пт</t>
        </is>
      </c>
      <c r="C50" s="9" t="n"/>
      <c r="D50" s="4">
        <f>IF(AND(A50&lt;=TODAY(),C50=""),$C$2,0)</f>
        <v/>
      </c>
      <c r="E50" s="2" t="n"/>
      <c r="F50" s="2" t="n"/>
      <c r="G50" s="4">
        <f>D50+E50</f>
        <v/>
      </c>
      <c r="H50" s="4">
        <f>IF(A50&gt;TODAY(),"",N(H49)+G50-F50)</f>
        <v/>
      </c>
    </row>
    <row r="51">
      <c r="A51" s="8" t="n">
        <v>46328</v>
      </c>
      <c r="B51" t="inlineStr">
        <is>
          <t>Пн</t>
        </is>
      </c>
      <c r="C51" s="9" t="n"/>
      <c r="D51" s="4">
        <f>IF(AND(A51&lt;=TODAY(),C51=""),$C$2,0)</f>
        <v/>
      </c>
      <c r="E51" s="2" t="n"/>
      <c r="F51" s="2" t="n"/>
      <c r="G51" s="4">
        <f>D51+E51</f>
        <v/>
      </c>
      <c r="H51" s="4">
        <f>IF(A51&gt;TODAY(),"",N(H50)+G51-F51)</f>
        <v/>
      </c>
    </row>
    <row r="52">
      <c r="A52" s="8" t="n">
        <v>46329</v>
      </c>
      <c r="B52" t="inlineStr">
        <is>
          <t>Вт</t>
        </is>
      </c>
      <c r="C52" s="9" t="n"/>
      <c r="D52" s="4">
        <f>IF(AND(A52&lt;=TODAY(),C52=""),$C$2,0)</f>
        <v/>
      </c>
      <c r="E52" s="2" t="n"/>
      <c r="F52" s="2" t="n"/>
      <c r="G52" s="4">
        <f>D52+E52</f>
        <v/>
      </c>
      <c r="H52" s="4">
        <f>IF(A52&gt;TODAY(),"",N(H51)+G52-F52)</f>
        <v/>
      </c>
    </row>
    <row r="53">
      <c r="A53" s="8" t="n">
        <v>46330</v>
      </c>
      <c r="B53" t="inlineStr">
        <is>
          <t>Ср</t>
        </is>
      </c>
      <c r="C53" s="9" t="n"/>
      <c r="D53" s="4">
        <f>IF(AND(A53&lt;=TODAY(),C53=""),$C$2,0)</f>
        <v/>
      </c>
      <c r="E53" s="2" t="n"/>
      <c r="F53" s="2" t="n"/>
      <c r="G53" s="4">
        <f>D53+E53</f>
        <v/>
      </c>
      <c r="H53" s="4">
        <f>IF(A53&gt;TODAY(),"",N(H52)+G53-F53)</f>
        <v/>
      </c>
    </row>
    <row r="54">
      <c r="A54" s="8" t="n">
        <v>46331</v>
      </c>
      <c r="B54" t="inlineStr">
        <is>
          <t>Чт</t>
        </is>
      </c>
      <c r="C54" s="9" t="n"/>
      <c r="D54" s="4">
        <f>IF(AND(A54&lt;=TODAY(),C54=""),$C$2,0)</f>
        <v/>
      </c>
      <c r="E54" s="2" t="n"/>
      <c r="F54" s="2" t="n"/>
      <c r="G54" s="4">
        <f>D54+E54</f>
        <v/>
      </c>
      <c r="H54" s="4">
        <f>IF(A54&gt;TODAY(),"",N(H53)+G54-F54)</f>
        <v/>
      </c>
    </row>
    <row r="55">
      <c r="A55" s="8" t="n">
        <v>46332</v>
      </c>
      <c r="B55" t="inlineStr">
        <is>
          <t>Пт</t>
        </is>
      </c>
      <c r="C55" s="9" t="n"/>
      <c r="D55" s="4">
        <f>IF(AND(A55&lt;=TODAY(),C55=""),$C$2,0)</f>
        <v/>
      </c>
      <c r="E55" s="2" t="n"/>
      <c r="F55" s="2" t="n"/>
      <c r="G55" s="4">
        <f>D55+E55</f>
        <v/>
      </c>
      <c r="H55" s="4">
        <f>IF(A55&gt;TODAY(),"",N(H54)+G55-F55)</f>
        <v/>
      </c>
    </row>
    <row r="56">
      <c r="A56" s="8" t="n">
        <v>46335</v>
      </c>
      <c r="B56" t="inlineStr">
        <is>
          <t>Пн</t>
        </is>
      </c>
      <c r="C56" s="9" t="n"/>
      <c r="D56" s="4">
        <f>IF(AND(A56&lt;=TODAY(),C56=""),$C$2,0)</f>
        <v/>
      </c>
      <c r="E56" s="2" t="n"/>
      <c r="F56" s="2" t="n"/>
      <c r="G56" s="4">
        <f>D56+E56</f>
        <v/>
      </c>
      <c r="H56" s="4">
        <f>IF(A56&gt;TODAY(),"",N(H55)+G56-F56)</f>
        <v/>
      </c>
    </row>
    <row r="57">
      <c r="A57" s="8" t="n">
        <v>46336</v>
      </c>
      <c r="B57" t="inlineStr">
        <is>
          <t>Вт</t>
        </is>
      </c>
      <c r="C57" s="9" t="n"/>
      <c r="D57" s="4">
        <f>IF(AND(A57&lt;=TODAY(),C57=""),$C$2,0)</f>
        <v/>
      </c>
      <c r="E57" s="2" t="n"/>
      <c r="F57" s="2" t="n"/>
      <c r="G57" s="4">
        <f>D57+E57</f>
        <v/>
      </c>
      <c r="H57" s="4">
        <f>IF(A57&gt;TODAY(),"",N(H56)+G57-F57)</f>
        <v/>
      </c>
    </row>
    <row r="58">
      <c r="A58" s="8" t="n">
        <v>46337</v>
      </c>
      <c r="B58" t="inlineStr">
        <is>
          <t>Ср</t>
        </is>
      </c>
      <c r="C58" s="9" t="n"/>
      <c r="D58" s="4">
        <f>IF(AND(A58&lt;=TODAY(),C58=""),$C$2,0)</f>
        <v/>
      </c>
      <c r="E58" s="2" t="n"/>
      <c r="F58" s="2" t="n"/>
      <c r="G58" s="4">
        <f>D58+E58</f>
        <v/>
      </c>
      <c r="H58" s="4">
        <f>IF(A58&gt;TODAY(),"",N(H57)+G58-F58)</f>
        <v/>
      </c>
    </row>
    <row r="59">
      <c r="A59" s="8" t="n">
        <v>46338</v>
      </c>
      <c r="B59" t="inlineStr">
        <is>
          <t>Чт</t>
        </is>
      </c>
      <c r="C59" s="9" t="n"/>
      <c r="D59" s="4">
        <f>IF(AND(A59&lt;=TODAY(),C59=""),$C$2,0)</f>
        <v/>
      </c>
      <c r="E59" s="2" t="n"/>
      <c r="F59" s="2" t="n"/>
      <c r="G59" s="4">
        <f>D59+E59</f>
        <v/>
      </c>
      <c r="H59" s="4">
        <f>IF(A59&gt;TODAY(),"",N(H58)+G59-F59)</f>
        <v/>
      </c>
    </row>
    <row r="60">
      <c r="A60" s="8" t="n">
        <v>46339</v>
      </c>
      <c r="B60" t="inlineStr">
        <is>
          <t>Пт</t>
        </is>
      </c>
      <c r="C60" s="9" t="n"/>
      <c r="D60" s="4">
        <f>IF(AND(A60&lt;=TODAY(),C60=""),$C$2,0)</f>
        <v/>
      </c>
      <c r="E60" s="2" t="n"/>
      <c r="F60" s="2" t="n"/>
      <c r="G60" s="4">
        <f>D60+E60</f>
        <v/>
      </c>
      <c r="H60" s="4">
        <f>IF(A60&gt;TODAY(),"",N(H59)+G60-F60)</f>
        <v/>
      </c>
    </row>
    <row r="61">
      <c r="A61" s="8" t="n">
        <v>46342</v>
      </c>
      <c r="B61" t="inlineStr">
        <is>
          <t>Пн</t>
        </is>
      </c>
      <c r="C61" s="9" t="n"/>
      <c r="D61" s="4">
        <f>IF(AND(A61&lt;=TODAY(),C61=""),$C$2,0)</f>
        <v/>
      </c>
      <c r="E61" s="2" t="n"/>
      <c r="F61" s="2" t="n"/>
      <c r="G61" s="4">
        <f>D61+E61</f>
        <v/>
      </c>
      <c r="H61" s="4">
        <f>IF(A61&gt;TODAY(),"",N(H60)+G61-F61)</f>
        <v/>
      </c>
    </row>
    <row r="62">
      <c r="A62" s="8" t="n">
        <v>46343</v>
      </c>
      <c r="B62" t="inlineStr">
        <is>
          <t>Вт</t>
        </is>
      </c>
      <c r="C62" s="9" t="n"/>
      <c r="D62" s="4">
        <f>IF(AND(A62&lt;=TODAY(),C62=""),$C$2,0)</f>
        <v/>
      </c>
      <c r="E62" s="2" t="n"/>
      <c r="F62" s="2" t="n"/>
      <c r="G62" s="4">
        <f>D62+E62</f>
        <v/>
      </c>
      <c r="H62" s="4">
        <f>IF(A62&gt;TODAY(),"",N(H61)+G62-F62)</f>
        <v/>
      </c>
    </row>
    <row r="63">
      <c r="A63" s="8" t="n">
        <v>46344</v>
      </c>
      <c r="B63" t="inlineStr">
        <is>
          <t>Ср</t>
        </is>
      </c>
      <c r="C63" s="9" t="n"/>
      <c r="D63" s="4">
        <f>IF(AND(A63&lt;=TODAY(),C63=""),$C$2,0)</f>
        <v/>
      </c>
      <c r="E63" s="2" t="n"/>
      <c r="F63" s="2" t="n"/>
      <c r="G63" s="4">
        <f>D63+E63</f>
        <v/>
      </c>
      <c r="H63" s="4">
        <f>IF(A63&gt;TODAY(),"",N(H62)+G63-F63)</f>
        <v/>
      </c>
    </row>
    <row r="64">
      <c r="A64" s="8" t="n">
        <v>46345</v>
      </c>
      <c r="B64" t="inlineStr">
        <is>
          <t>Чт</t>
        </is>
      </c>
      <c r="C64" s="9" t="n"/>
      <c r="D64" s="4">
        <f>IF(AND(A64&lt;=TODAY(),C64=""),$C$2,0)</f>
        <v/>
      </c>
      <c r="E64" s="2" t="n"/>
      <c r="F64" s="2" t="n"/>
      <c r="G64" s="4">
        <f>D64+E64</f>
        <v/>
      </c>
      <c r="H64" s="4">
        <f>IF(A64&gt;TODAY(),"",N(H63)+G64-F64)</f>
        <v/>
      </c>
    </row>
    <row r="65">
      <c r="A65" s="8" t="n">
        <v>46346</v>
      </c>
      <c r="B65" t="inlineStr">
        <is>
          <t>Пт</t>
        </is>
      </c>
      <c r="C65" s="9" t="n"/>
      <c r="D65" s="4">
        <f>IF(AND(A65&lt;=TODAY(),C65=""),$C$2,0)</f>
        <v/>
      </c>
      <c r="E65" s="2" t="n"/>
      <c r="F65" s="2" t="n"/>
      <c r="G65" s="4">
        <f>D65+E65</f>
        <v/>
      </c>
      <c r="H65" s="4">
        <f>IF(A65&gt;TODAY(),"",N(H64)+G65-F65)</f>
        <v/>
      </c>
    </row>
    <row r="66">
      <c r="A66" s="8" t="n">
        <v>46349</v>
      </c>
      <c r="B66" t="inlineStr">
        <is>
          <t>Пн</t>
        </is>
      </c>
      <c r="C66" s="9" t="n"/>
      <c r="D66" s="4">
        <f>IF(AND(A66&lt;=TODAY(),C66=""),$C$2,0)</f>
        <v/>
      </c>
      <c r="E66" s="2" t="n"/>
      <c r="F66" s="2" t="n"/>
      <c r="G66" s="4">
        <f>D66+E66</f>
        <v/>
      </c>
      <c r="H66" s="4">
        <f>IF(A66&gt;TODAY(),"",N(H65)+G66-F66)</f>
        <v/>
      </c>
    </row>
    <row r="67">
      <c r="A67" s="8" t="n">
        <v>46350</v>
      </c>
      <c r="B67" t="inlineStr">
        <is>
          <t>Вт</t>
        </is>
      </c>
      <c r="C67" s="9" t="n"/>
      <c r="D67" s="4">
        <f>IF(AND(A67&lt;=TODAY(),C67=""),$C$2,0)</f>
        <v/>
      </c>
      <c r="E67" s="2" t="n"/>
      <c r="F67" s="2" t="n"/>
      <c r="G67" s="4">
        <f>D67+E67</f>
        <v/>
      </c>
      <c r="H67" s="4">
        <f>IF(A67&gt;TODAY(),"",N(H66)+G67-F67)</f>
        <v/>
      </c>
    </row>
    <row r="68">
      <c r="A68" s="8" t="n">
        <v>46351</v>
      </c>
      <c r="B68" t="inlineStr">
        <is>
          <t>Ср</t>
        </is>
      </c>
      <c r="C68" s="9" t="n"/>
      <c r="D68" s="4">
        <f>IF(AND(A68&lt;=TODAY(),C68=""),$C$2,0)</f>
        <v/>
      </c>
      <c r="E68" s="2" t="n"/>
      <c r="F68" s="2" t="n"/>
      <c r="G68" s="4">
        <f>D68+E68</f>
        <v/>
      </c>
      <c r="H68" s="4">
        <f>IF(A68&gt;TODAY(),"",N(H67)+G68-F68)</f>
        <v/>
      </c>
    </row>
    <row r="69">
      <c r="A69" s="8" t="n">
        <v>46352</v>
      </c>
      <c r="B69" t="inlineStr">
        <is>
          <t>Чт</t>
        </is>
      </c>
      <c r="C69" s="9" t="n"/>
      <c r="D69" s="4">
        <f>IF(AND(A69&lt;=TODAY(),C69=""),$C$2,0)</f>
        <v/>
      </c>
      <c r="E69" s="2" t="n"/>
      <c r="F69" s="2" t="n"/>
      <c r="G69" s="4">
        <f>D69+E69</f>
        <v/>
      </c>
      <c r="H69" s="4">
        <f>IF(A69&gt;TODAY(),"",N(H68)+G69-F69)</f>
        <v/>
      </c>
    </row>
    <row r="70">
      <c r="A70" s="8" t="n">
        <v>46353</v>
      </c>
      <c r="B70" t="inlineStr">
        <is>
          <t>Пт</t>
        </is>
      </c>
      <c r="C70" s="9" t="n"/>
      <c r="D70" s="4">
        <f>IF(AND(A70&lt;=TODAY(),C70=""),$C$2,0)</f>
        <v/>
      </c>
      <c r="E70" s="2" t="n"/>
      <c r="F70" s="2" t="n"/>
      <c r="G70" s="4">
        <f>D70+E70</f>
        <v/>
      </c>
      <c r="H70" s="4">
        <f>IF(A70&gt;TODAY(),"",N(H69)+G70-F70)</f>
        <v/>
      </c>
    </row>
    <row r="71">
      <c r="A71" s="8" t="n">
        <v>46356</v>
      </c>
      <c r="B71" t="inlineStr">
        <is>
          <t>Пн</t>
        </is>
      </c>
      <c r="C71" s="9" t="n"/>
      <c r="D71" s="4">
        <f>IF(AND(A71&lt;=TODAY(),C71=""),$C$2,0)</f>
        <v/>
      </c>
      <c r="E71" s="2" t="n"/>
      <c r="F71" s="2" t="n"/>
      <c r="G71" s="4">
        <f>D71+E71</f>
        <v/>
      </c>
      <c r="H71" s="4">
        <f>IF(A71&gt;TODAY(),"",N(H70)+G71-F71)</f>
        <v/>
      </c>
    </row>
    <row r="72">
      <c r="A72" s="8" t="n">
        <v>46357</v>
      </c>
      <c r="B72" t="inlineStr">
        <is>
          <t>Вт</t>
        </is>
      </c>
      <c r="C72" s="9" t="n"/>
      <c r="D72" s="4">
        <f>IF(AND(A72&lt;=TODAY(),C72=""),$C$2,0)</f>
        <v/>
      </c>
      <c r="E72" s="2" t="n"/>
      <c r="F72" s="2" t="n"/>
      <c r="G72" s="4">
        <f>D72+E72</f>
        <v/>
      </c>
      <c r="H72" s="4">
        <f>IF(A72&gt;TODAY(),"",N(H71)+G72-F72)</f>
        <v/>
      </c>
    </row>
    <row r="73">
      <c r="A73" s="8" t="n">
        <v>46358</v>
      </c>
      <c r="B73" t="inlineStr">
        <is>
          <t>Ср</t>
        </is>
      </c>
      <c r="C73" s="9" t="n"/>
      <c r="D73" s="4">
        <f>IF(AND(A73&lt;=TODAY(),C73=""),$C$2,0)</f>
        <v/>
      </c>
      <c r="E73" s="2" t="n"/>
      <c r="F73" s="2" t="n"/>
      <c r="G73" s="4">
        <f>D73+E73</f>
        <v/>
      </c>
      <c r="H73" s="4">
        <f>IF(A73&gt;TODAY(),"",N(H72)+G73-F73)</f>
        <v/>
      </c>
    </row>
    <row r="74">
      <c r="A74" s="8" t="n">
        <v>46359</v>
      </c>
      <c r="B74" t="inlineStr">
        <is>
          <t>Чт</t>
        </is>
      </c>
      <c r="C74" s="9" t="n"/>
      <c r="D74" s="4">
        <f>IF(AND(A74&lt;=TODAY(),C74=""),$C$2,0)</f>
        <v/>
      </c>
      <c r="E74" s="2" t="n"/>
      <c r="F74" s="2" t="n"/>
      <c r="G74" s="4">
        <f>D74+E74</f>
        <v/>
      </c>
      <c r="H74" s="4">
        <f>IF(A74&gt;TODAY(),"",N(H73)+G74-F74)</f>
        <v/>
      </c>
    </row>
    <row r="75">
      <c r="A75" s="8" t="n">
        <v>46360</v>
      </c>
      <c r="B75" t="inlineStr">
        <is>
          <t>Пт</t>
        </is>
      </c>
      <c r="C75" s="9" t="n"/>
      <c r="D75" s="4">
        <f>IF(AND(A75&lt;=TODAY(),C75=""),$C$2,0)</f>
        <v/>
      </c>
      <c r="E75" s="2" t="n"/>
      <c r="F75" s="2" t="n"/>
      <c r="G75" s="4">
        <f>D75+E75</f>
        <v/>
      </c>
      <c r="H75" s="4">
        <f>IF(A75&gt;TODAY(),"",N(H74)+G75-F75)</f>
        <v/>
      </c>
    </row>
    <row r="76">
      <c r="A76" s="8" t="n">
        <v>46363</v>
      </c>
      <c r="B76" t="inlineStr">
        <is>
          <t>Пн</t>
        </is>
      </c>
      <c r="C76" s="9" t="n"/>
      <c r="D76" s="4">
        <f>IF(AND(A76&lt;=TODAY(),C76=""),$C$2,0)</f>
        <v/>
      </c>
      <c r="E76" s="2" t="n"/>
      <c r="F76" s="2" t="n"/>
      <c r="G76" s="4">
        <f>D76+E76</f>
        <v/>
      </c>
      <c r="H76" s="4">
        <f>IF(A76&gt;TODAY(),"",N(H75)+G76-F76)</f>
        <v/>
      </c>
    </row>
    <row r="77">
      <c r="A77" s="8" t="n">
        <v>46364</v>
      </c>
      <c r="B77" t="inlineStr">
        <is>
          <t>Вт</t>
        </is>
      </c>
      <c r="C77" s="9" t="n"/>
      <c r="D77" s="4">
        <f>IF(AND(A77&lt;=TODAY(),C77=""),$C$2,0)</f>
        <v/>
      </c>
      <c r="E77" s="2" t="n"/>
      <c r="F77" s="2" t="n"/>
      <c r="G77" s="4">
        <f>D77+E77</f>
        <v/>
      </c>
      <c r="H77" s="4">
        <f>IF(A77&gt;TODAY(),"",N(H76)+G77-F77)</f>
        <v/>
      </c>
    </row>
    <row r="78">
      <c r="A78" s="8" t="n">
        <v>46365</v>
      </c>
      <c r="B78" t="inlineStr">
        <is>
          <t>Ср</t>
        </is>
      </c>
      <c r="C78" s="9" t="n"/>
      <c r="D78" s="4">
        <f>IF(AND(A78&lt;=TODAY(),C78=""),$C$2,0)</f>
        <v/>
      </c>
      <c r="E78" s="2" t="n"/>
      <c r="F78" s="2" t="n"/>
      <c r="G78" s="4">
        <f>D78+E78</f>
        <v/>
      </c>
      <c r="H78" s="4">
        <f>IF(A78&gt;TODAY(),"",N(H77)+G78-F78)</f>
        <v/>
      </c>
    </row>
    <row r="79">
      <c r="A79" s="8" t="n">
        <v>46366</v>
      </c>
      <c r="B79" t="inlineStr">
        <is>
          <t>Чт</t>
        </is>
      </c>
      <c r="C79" s="9" t="n"/>
      <c r="D79" s="4">
        <f>IF(AND(A79&lt;=TODAY(),C79=""),$C$2,0)</f>
        <v/>
      </c>
      <c r="E79" s="2" t="n"/>
      <c r="F79" s="2" t="n"/>
      <c r="G79" s="4">
        <f>D79+E79</f>
        <v/>
      </c>
      <c r="H79" s="4">
        <f>IF(A79&gt;TODAY(),"",N(H78)+G79-F79)</f>
        <v/>
      </c>
    </row>
    <row r="80">
      <c r="A80" s="8" t="n">
        <v>46367</v>
      </c>
      <c r="B80" t="inlineStr">
        <is>
          <t>Пт</t>
        </is>
      </c>
      <c r="C80" s="9" t="n"/>
      <c r="D80" s="4">
        <f>IF(AND(A80&lt;=TODAY(),C80=""),$C$2,0)</f>
        <v/>
      </c>
      <c r="E80" s="2" t="n"/>
      <c r="F80" s="2" t="n"/>
      <c r="G80" s="4">
        <f>D80+E80</f>
        <v/>
      </c>
      <c r="H80" s="4">
        <f>IF(A80&gt;TODAY(),"",N(H79)+G80-F80)</f>
        <v/>
      </c>
    </row>
    <row r="81">
      <c r="A81" s="8" t="n">
        <v>46370</v>
      </c>
      <c r="B81" t="inlineStr">
        <is>
          <t>Пн</t>
        </is>
      </c>
      <c r="C81" s="9" t="n"/>
      <c r="D81" s="4">
        <f>IF(AND(A81&lt;=TODAY(),C81=""),$C$2,0)</f>
        <v/>
      </c>
      <c r="E81" s="2" t="n"/>
      <c r="F81" s="2" t="n"/>
      <c r="G81" s="4">
        <f>D81+E81</f>
        <v/>
      </c>
      <c r="H81" s="4">
        <f>IF(A81&gt;TODAY(),"",N(H80)+G81-F81)</f>
        <v/>
      </c>
    </row>
    <row r="82">
      <c r="A82" s="8" t="n">
        <v>46371</v>
      </c>
      <c r="B82" t="inlineStr">
        <is>
          <t>Вт</t>
        </is>
      </c>
      <c r="C82" s="9" t="n"/>
      <c r="D82" s="4">
        <f>IF(AND(A82&lt;=TODAY(),C82=""),$C$2,0)</f>
        <v/>
      </c>
      <c r="E82" s="2" t="n"/>
      <c r="F82" s="2" t="n"/>
      <c r="G82" s="4">
        <f>D82+E82</f>
        <v/>
      </c>
      <c r="H82" s="4">
        <f>IF(A82&gt;TODAY(),"",N(H81)+G82-F82)</f>
        <v/>
      </c>
    </row>
    <row r="83">
      <c r="A83" s="8" t="n">
        <v>46372</v>
      </c>
      <c r="B83" t="inlineStr">
        <is>
          <t>Ср</t>
        </is>
      </c>
      <c r="C83" s="9" t="n"/>
      <c r="D83" s="4">
        <f>IF(AND(A83&lt;=TODAY(),C83=""),$C$2,0)</f>
        <v/>
      </c>
      <c r="E83" s="2" t="n"/>
      <c r="F83" s="2" t="n"/>
      <c r="G83" s="4">
        <f>D83+E83</f>
        <v/>
      </c>
      <c r="H83" s="4">
        <f>IF(A83&gt;TODAY(),"",N(H82)+G83-F83)</f>
        <v/>
      </c>
    </row>
    <row r="84">
      <c r="A84" s="8" t="n">
        <v>46373</v>
      </c>
      <c r="B84" t="inlineStr">
        <is>
          <t>Чт</t>
        </is>
      </c>
      <c r="C84" s="9" t="n"/>
      <c r="D84" s="4">
        <f>IF(AND(A84&lt;=TODAY(),C84=""),$C$2,0)</f>
        <v/>
      </c>
      <c r="E84" s="2" t="n"/>
      <c r="F84" s="2" t="n"/>
      <c r="G84" s="4">
        <f>D84+E84</f>
        <v/>
      </c>
      <c r="H84" s="4">
        <f>IF(A84&gt;TODAY(),"",N(H83)+G84-F84)</f>
        <v/>
      </c>
    </row>
    <row r="85">
      <c r="A85" s="8" t="n">
        <v>46374</v>
      </c>
      <c r="B85" t="inlineStr">
        <is>
          <t>Пт</t>
        </is>
      </c>
      <c r="C85" s="9" t="n"/>
      <c r="D85" s="4">
        <f>IF(AND(A85&lt;=TODAY(),C85=""),$C$2,0)</f>
        <v/>
      </c>
      <c r="E85" s="2" t="n"/>
      <c r="F85" s="2" t="n"/>
      <c r="G85" s="4">
        <f>D85+E85</f>
        <v/>
      </c>
      <c r="H85" s="4">
        <f>IF(A85&gt;TODAY(),"",N(H84)+G85-F85)</f>
        <v/>
      </c>
    </row>
    <row r="86">
      <c r="A86" s="8" t="n">
        <v>46377</v>
      </c>
      <c r="B86" t="inlineStr">
        <is>
          <t>Пн</t>
        </is>
      </c>
      <c r="C86" s="9" t="n"/>
      <c r="D86" s="4">
        <f>IF(AND(A86&lt;=TODAY(),C86=""),$C$2,0)</f>
        <v/>
      </c>
      <c r="E86" s="2" t="n"/>
      <c r="F86" s="2" t="n"/>
      <c r="G86" s="4">
        <f>D86+E86</f>
        <v/>
      </c>
      <c r="H86" s="4">
        <f>IF(A86&gt;TODAY(),"",N(H85)+G86-F86)</f>
        <v/>
      </c>
    </row>
    <row r="87">
      <c r="A87" s="8" t="n">
        <v>46378</v>
      </c>
      <c r="B87" t="inlineStr">
        <is>
          <t>Вт</t>
        </is>
      </c>
      <c r="C87" s="9" t="n"/>
      <c r="D87" s="4">
        <f>IF(AND(A87&lt;=TODAY(),C87=""),$C$2,0)</f>
        <v/>
      </c>
      <c r="E87" s="2" t="n"/>
      <c r="F87" s="2" t="n"/>
      <c r="G87" s="4">
        <f>D87+E87</f>
        <v/>
      </c>
      <c r="H87" s="4">
        <f>IF(A87&gt;TODAY(),"",N(H86)+G87-F87)</f>
        <v/>
      </c>
    </row>
    <row r="88">
      <c r="A88" s="8" t="n">
        <v>46379</v>
      </c>
      <c r="B88" t="inlineStr">
        <is>
          <t>Ср</t>
        </is>
      </c>
      <c r="C88" s="9" t="n"/>
      <c r="D88" s="4">
        <f>IF(AND(A88&lt;=TODAY(),C88=""),$C$2,0)</f>
        <v/>
      </c>
      <c r="E88" s="2" t="n"/>
      <c r="F88" s="2" t="n"/>
      <c r="G88" s="4">
        <f>D88+E88</f>
        <v/>
      </c>
      <c r="H88" s="4">
        <f>IF(A88&gt;TODAY(),"",N(H87)+G88-F88)</f>
        <v/>
      </c>
    </row>
    <row r="89">
      <c r="A89" s="8" t="n">
        <v>46380</v>
      </c>
      <c r="B89" t="inlineStr">
        <is>
          <t>Чт</t>
        </is>
      </c>
      <c r="C89" s="9" t="n"/>
      <c r="D89" s="4">
        <f>IF(AND(A89&lt;=TODAY(),C89=""),$C$2,0)</f>
        <v/>
      </c>
      <c r="E89" s="2" t="n"/>
      <c r="F89" s="2" t="n"/>
      <c r="G89" s="4">
        <f>D89+E89</f>
        <v/>
      </c>
      <c r="H89" s="4">
        <f>IF(A89&gt;TODAY(),"",N(H88)+G89-F89)</f>
        <v/>
      </c>
    </row>
    <row r="90">
      <c r="A90" s="8" t="n">
        <v>46381</v>
      </c>
      <c r="B90" t="inlineStr">
        <is>
          <t>Пт</t>
        </is>
      </c>
      <c r="C90" s="9" t="n"/>
      <c r="D90" s="4">
        <f>IF(AND(A90&lt;=TODAY(),C90=""),$C$2,0)</f>
        <v/>
      </c>
      <c r="E90" s="2" t="n"/>
      <c r="F90" s="2" t="n"/>
      <c r="G90" s="4">
        <f>D90+E90</f>
        <v/>
      </c>
      <c r="H90" s="4">
        <f>IF(A90&gt;TODAY(),"",N(H89)+G90-F90)</f>
        <v/>
      </c>
    </row>
    <row r="91">
      <c r="A91" s="8" t="n">
        <v>46384</v>
      </c>
      <c r="B91" t="inlineStr">
        <is>
          <t>Пн</t>
        </is>
      </c>
      <c r="C91" s="9" t="n"/>
      <c r="D91" s="4">
        <f>IF(AND(A91&lt;=TODAY(),C91=""),$C$2,0)</f>
        <v/>
      </c>
      <c r="E91" s="2" t="n"/>
      <c r="F91" s="2" t="n"/>
      <c r="G91" s="4">
        <f>D91+E91</f>
        <v/>
      </c>
      <c r="H91" s="4">
        <f>IF(A91&gt;TODAY(),"",N(H90)+G91-F91)</f>
        <v/>
      </c>
    </row>
    <row r="92">
      <c r="A92" s="8" t="n">
        <v>46385</v>
      </c>
      <c r="B92" t="inlineStr">
        <is>
          <t>Вт</t>
        </is>
      </c>
      <c r="C92" s="9" t="n"/>
      <c r="D92" s="4">
        <f>IF(AND(A92&lt;=TODAY(),C92=""),$C$2,0)</f>
        <v/>
      </c>
      <c r="E92" s="2" t="n"/>
      <c r="F92" s="2" t="n"/>
      <c r="G92" s="4">
        <f>D92+E92</f>
        <v/>
      </c>
      <c r="H92" s="4">
        <f>IF(A92&gt;TODAY(),"",N(H91)+G92-F92)</f>
        <v/>
      </c>
    </row>
    <row r="93">
      <c r="A93" s="8" t="n">
        <v>46386</v>
      </c>
      <c r="B93" t="inlineStr">
        <is>
          <t>Ср</t>
        </is>
      </c>
      <c r="C93" s="9" t="n"/>
      <c r="D93" s="4">
        <f>IF(AND(A93&lt;=TODAY(),C93=""),$C$2,0)</f>
        <v/>
      </c>
      <c r="E93" s="2" t="n"/>
      <c r="F93" s="2" t="n"/>
      <c r="G93" s="4">
        <f>D93+E93</f>
        <v/>
      </c>
      <c r="H93" s="4">
        <f>IF(A93&gt;TODAY(),"",N(H92)+G93-F93)</f>
        <v/>
      </c>
    </row>
    <row r="94">
      <c r="A94" s="8" t="n">
        <v>46387</v>
      </c>
      <c r="B94" t="inlineStr">
        <is>
          <t>Чт</t>
        </is>
      </c>
      <c r="C94" s="9" t="n"/>
      <c r="D94" s="4">
        <f>IF(AND(A94&lt;=TODAY(),C94=""),$C$2,0)</f>
        <v/>
      </c>
      <c r="E94" s="2" t="n"/>
      <c r="F94" s="2" t="n"/>
      <c r="G94" s="4">
        <f>D94+E94</f>
        <v/>
      </c>
      <c r="H94" s="4">
        <f>IF(A94&gt;TODAY(),"",N(H93)+G94-F94)</f>
        <v/>
      </c>
    </row>
    <row r="95">
      <c r="A95" s="8" t="n">
        <v>46388</v>
      </c>
      <c r="B95" t="inlineStr">
        <is>
          <t>Пт</t>
        </is>
      </c>
      <c r="C95" s="9" t="n"/>
      <c r="D95" s="4">
        <f>IF(AND(A95&lt;=TODAY(),C95=""),$C$2,0)</f>
        <v/>
      </c>
      <c r="E95" s="2" t="n"/>
      <c r="F95" s="2" t="n"/>
      <c r="G95" s="4">
        <f>D95+E95</f>
        <v/>
      </c>
      <c r="H95" s="4">
        <f>IF(A95&gt;TODAY(),"",N(H94)+G95-F95)</f>
        <v/>
      </c>
    </row>
    <row r="96">
      <c r="A96" s="8" t="n">
        <v>46391</v>
      </c>
      <c r="B96" t="inlineStr">
        <is>
          <t>Пн</t>
        </is>
      </c>
      <c r="C96" s="9" t="n"/>
      <c r="D96" s="4">
        <f>IF(AND(A96&lt;=TODAY(),C96=""),$C$2,0)</f>
        <v/>
      </c>
      <c r="E96" s="2" t="n"/>
      <c r="F96" s="2" t="n"/>
      <c r="G96" s="4">
        <f>D96+E96</f>
        <v/>
      </c>
      <c r="H96" s="4">
        <f>IF(A96&gt;TODAY(),"",N(H95)+G96-F96)</f>
        <v/>
      </c>
    </row>
    <row r="97">
      <c r="A97" s="8" t="n">
        <v>46392</v>
      </c>
      <c r="B97" t="inlineStr">
        <is>
          <t>Вт</t>
        </is>
      </c>
      <c r="C97" s="9" t="n"/>
      <c r="D97" s="4">
        <f>IF(AND(A97&lt;=TODAY(),C97=""),$C$2,0)</f>
        <v/>
      </c>
      <c r="E97" s="2" t="n"/>
      <c r="F97" s="2" t="n"/>
      <c r="G97" s="4">
        <f>D97+E97</f>
        <v/>
      </c>
      <c r="H97" s="4">
        <f>IF(A97&gt;TODAY(),"",N(H96)+G97-F97)</f>
        <v/>
      </c>
    </row>
    <row r="98">
      <c r="A98" s="8" t="n">
        <v>46393</v>
      </c>
      <c r="B98" t="inlineStr">
        <is>
          <t>Ср</t>
        </is>
      </c>
      <c r="C98" s="9" t="n"/>
      <c r="D98" s="4">
        <f>IF(AND(A98&lt;=TODAY(),C98=""),$C$2,0)</f>
        <v/>
      </c>
      <c r="E98" s="2" t="n"/>
      <c r="F98" s="2" t="n"/>
      <c r="G98" s="4">
        <f>D98+E98</f>
        <v/>
      </c>
      <c r="H98" s="4">
        <f>IF(A98&gt;TODAY(),"",N(H97)+G98-F98)</f>
        <v/>
      </c>
    </row>
    <row r="99">
      <c r="A99" s="8" t="n">
        <v>46394</v>
      </c>
      <c r="B99" t="inlineStr">
        <is>
          <t>Чт</t>
        </is>
      </c>
      <c r="C99" s="9" t="n"/>
      <c r="D99" s="4">
        <f>IF(AND(A99&lt;=TODAY(),C99=""),$C$2,0)</f>
        <v/>
      </c>
      <c r="E99" s="2" t="n"/>
      <c r="F99" s="2" t="n"/>
      <c r="G99" s="4">
        <f>D99+E99</f>
        <v/>
      </c>
      <c r="H99" s="4">
        <f>IF(A99&gt;TODAY(),"",N(H98)+G99-F99)</f>
        <v/>
      </c>
    </row>
    <row r="100">
      <c r="A100" s="8" t="n">
        <v>46395</v>
      </c>
      <c r="B100" t="inlineStr">
        <is>
          <t>Пт</t>
        </is>
      </c>
      <c r="C100" s="9" t="n"/>
      <c r="D100" s="4">
        <f>IF(AND(A100&lt;=TODAY(),C100=""),$C$2,0)</f>
        <v/>
      </c>
      <c r="E100" s="2" t="n"/>
      <c r="F100" s="2" t="n"/>
      <c r="G100" s="4">
        <f>D100+E100</f>
        <v/>
      </c>
      <c r="H100" s="4">
        <f>IF(A100&gt;TODAY(),"",N(H99)+G100-F100)</f>
        <v/>
      </c>
    </row>
    <row r="101">
      <c r="A101" s="8" t="n">
        <v>46398</v>
      </c>
      <c r="B101" t="inlineStr">
        <is>
          <t>Пн</t>
        </is>
      </c>
      <c r="C101" s="9" t="n"/>
      <c r="D101" s="4">
        <f>IF(AND(A101&lt;=TODAY(),C101=""),$C$2,0)</f>
        <v/>
      </c>
      <c r="E101" s="2" t="n"/>
      <c r="F101" s="2" t="n"/>
      <c r="G101" s="4">
        <f>D101+E101</f>
        <v/>
      </c>
      <c r="H101" s="4">
        <f>IF(A101&gt;TODAY(),"",N(H100)+G101-F101)</f>
        <v/>
      </c>
    </row>
    <row r="102">
      <c r="A102" s="8" t="n">
        <v>46399</v>
      </c>
      <c r="B102" t="inlineStr">
        <is>
          <t>Вт</t>
        </is>
      </c>
      <c r="C102" s="9" t="n"/>
      <c r="D102" s="4">
        <f>IF(AND(A102&lt;=TODAY(),C102=""),$C$2,0)</f>
        <v/>
      </c>
      <c r="E102" s="2" t="n"/>
      <c r="F102" s="2" t="n"/>
      <c r="G102" s="4">
        <f>D102+E102</f>
        <v/>
      </c>
      <c r="H102" s="4">
        <f>IF(A102&gt;TODAY(),"",N(H101)+G102-F102)</f>
        <v/>
      </c>
    </row>
    <row r="103">
      <c r="A103" s="8" t="n">
        <v>46400</v>
      </c>
      <c r="B103" t="inlineStr">
        <is>
          <t>Ср</t>
        </is>
      </c>
      <c r="C103" s="9" t="n"/>
      <c r="D103" s="4">
        <f>IF(AND(A103&lt;=TODAY(),C103=""),$C$2,0)</f>
        <v/>
      </c>
      <c r="E103" s="2" t="n"/>
      <c r="F103" s="2" t="n"/>
      <c r="G103" s="4">
        <f>D103+E103</f>
        <v/>
      </c>
      <c r="H103" s="4">
        <f>IF(A103&gt;TODAY(),"",N(H102)+G103-F103)</f>
        <v/>
      </c>
    </row>
    <row r="104">
      <c r="A104" s="8" t="n">
        <v>46401</v>
      </c>
      <c r="B104" t="inlineStr">
        <is>
          <t>Чт</t>
        </is>
      </c>
      <c r="C104" s="9" t="n"/>
      <c r="D104" s="4">
        <f>IF(AND(A104&lt;=TODAY(),C104=""),$C$2,0)</f>
        <v/>
      </c>
      <c r="E104" s="2" t="n"/>
      <c r="F104" s="2" t="n"/>
      <c r="G104" s="4">
        <f>D104+E104</f>
        <v/>
      </c>
      <c r="H104" s="4">
        <f>IF(A104&gt;TODAY(),"",N(H103)+G104-F104)</f>
        <v/>
      </c>
    </row>
    <row r="105">
      <c r="A105" s="8" t="n">
        <v>46402</v>
      </c>
      <c r="B105" t="inlineStr">
        <is>
          <t>Пт</t>
        </is>
      </c>
      <c r="C105" s="9" t="n"/>
      <c r="D105" s="4">
        <f>IF(AND(A105&lt;=TODAY(),C105=""),$C$2,0)</f>
        <v/>
      </c>
      <c r="E105" s="2" t="n"/>
      <c r="F105" s="2" t="n"/>
      <c r="G105" s="4">
        <f>D105+E105</f>
        <v/>
      </c>
      <c r="H105" s="4">
        <f>IF(A105&gt;TODAY(),"",N(H104)+G105-F105)</f>
        <v/>
      </c>
    </row>
    <row r="106">
      <c r="A106" s="8" t="n">
        <v>46405</v>
      </c>
      <c r="B106" t="inlineStr">
        <is>
          <t>Пн</t>
        </is>
      </c>
      <c r="C106" s="9" t="n"/>
      <c r="D106" s="4">
        <f>IF(AND(A106&lt;=TODAY(),C106=""),$C$2,0)</f>
        <v/>
      </c>
      <c r="E106" s="2" t="n"/>
      <c r="F106" s="2" t="n"/>
      <c r="G106" s="4">
        <f>D106+E106</f>
        <v/>
      </c>
      <c r="H106" s="4">
        <f>IF(A106&gt;TODAY(),"",N(H105)+G106-F106)</f>
        <v/>
      </c>
    </row>
    <row r="107">
      <c r="A107" s="8" t="n">
        <v>46406</v>
      </c>
      <c r="B107" t="inlineStr">
        <is>
          <t>Вт</t>
        </is>
      </c>
      <c r="C107" s="9" t="n"/>
      <c r="D107" s="4">
        <f>IF(AND(A107&lt;=TODAY(),C107=""),$C$2,0)</f>
        <v/>
      </c>
      <c r="E107" s="2" t="n"/>
      <c r="F107" s="2" t="n"/>
      <c r="G107" s="4">
        <f>D107+E107</f>
        <v/>
      </c>
      <c r="H107" s="4">
        <f>IF(A107&gt;TODAY(),"",N(H106)+G107-F107)</f>
        <v/>
      </c>
    </row>
    <row r="108">
      <c r="A108" s="8" t="n">
        <v>46407</v>
      </c>
      <c r="B108" t="inlineStr">
        <is>
          <t>Ср</t>
        </is>
      </c>
      <c r="C108" s="9" t="n"/>
      <c r="D108" s="4">
        <f>IF(AND(A108&lt;=TODAY(),C108=""),$C$2,0)</f>
        <v/>
      </c>
      <c r="E108" s="2" t="n"/>
      <c r="F108" s="2" t="n"/>
      <c r="G108" s="4">
        <f>D108+E108</f>
        <v/>
      </c>
      <c r="H108" s="4">
        <f>IF(A108&gt;TODAY(),"",N(H107)+G108-F108)</f>
        <v/>
      </c>
    </row>
    <row r="109">
      <c r="A109" s="8" t="n">
        <v>46408</v>
      </c>
      <c r="B109" t="inlineStr">
        <is>
          <t>Чт</t>
        </is>
      </c>
      <c r="C109" s="9" t="n"/>
      <c r="D109" s="4">
        <f>IF(AND(A109&lt;=TODAY(),C109=""),$C$2,0)</f>
        <v/>
      </c>
      <c r="E109" s="2" t="n"/>
      <c r="F109" s="2" t="n"/>
      <c r="G109" s="4">
        <f>D109+E109</f>
        <v/>
      </c>
      <c r="H109" s="4">
        <f>IF(A109&gt;TODAY(),"",N(H108)+G109-F109)</f>
        <v/>
      </c>
    </row>
    <row r="110">
      <c r="A110" s="8" t="n">
        <v>46409</v>
      </c>
      <c r="B110" t="inlineStr">
        <is>
          <t>Пт</t>
        </is>
      </c>
      <c r="C110" s="9" t="n"/>
      <c r="D110" s="4">
        <f>IF(AND(A110&lt;=TODAY(),C110=""),$C$2,0)</f>
        <v/>
      </c>
      <c r="E110" s="2" t="n"/>
      <c r="F110" s="2" t="n"/>
      <c r="G110" s="4">
        <f>D110+E110</f>
        <v/>
      </c>
      <c r="H110" s="4">
        <f>IF(A110&gt;TODAY(),"",N(H109)+G110-F110)</f>
        <v/>
      </c>
    </row>
    <row r="111">
      <c r="A111" s="8" t="n">
        <v>46412</v>
      </c>
      <c r="B111" t="inlineStr">
        <is>
          <t>Пн</t>
        </is>
      </c>
      <c r="C111" s="9" t="n"/>
      <c r="D111" s="4">
        <f>IF(AND(A111&lt;=TODAY(),C111=""),$C$2,0)</f>
        <v/>
      </c>
      <c r="E111" s="2" t="n"/>
      <c r="F111" s="2" t="n"/>
      <c r="G111" s="4">
        <f>D111+E111</f>
        <v/>
      </c>
      <c r="H111" s="4">
        <f>IF(A111&gt;TODAY(),"",N(H110)+G111-F111)</f>
        <v/>
      </c>
    </row>
    <row r="112">
      <c r="A112" s="8" t="n">
        <v>46413</v>
      </c>
      <c r="B112" t="inlineStr">
        <is>
          <t>Вт</t>
        </is>
      </c>
      <c r="C112" s="9" t="n"/>
      <c r="D112" s="4">
        <f>IF(AND(A112&lt;=TODAY(),C112=""),$C$2,0)</f>
        <v/>
      </c>
      <c r="E112" s="2" t="n"/>
      <c r="F112" s="2" t="n"/>
      <c r="G112" s="4">
        <f>D112+E112</f>
        <v/>
      </c>
      <c r="H112" s="4">
        <f>IF(A112&gt;TODAY(),"",N(H111)+G112-F112)</f>
        <v/>
      </c>
    </row>
    <row r="113">
      <c r="A113" s="8" t="n">
        <v>46414</v>
      </c>
      <c r="B113" t="inlineStr">
        <is>
          <t>Ср</t>
        </is>
      </c>
      <c r="C113" s="9" t="n"/>
      <c r="D113" s="4">
        <f>IF(AND(A113&lt;=TODAY(),C113=""),$C$2,0)</f>
        <v/>
      </c>
      <c r="E113" s="2" t="n"/>
      <c r="F113" s="2" t="n"/>
      <c r="G113" s="4">
        <f>D113+E113</f>
        <v/>
      </c>
      <c r="H113" s="4">
        <f>IF(A113&gt;TODAY(),"",N(H112)+G113-F113)</f>
        <v/>
      </c>
    </row>
    <row r="114">
      <c r="A114" s="8" t="n">
        <v>46415</v>
      </c>
      <c r="B114" t="inlineStr">
        <is>
          <t>Чт</t>
        </is>
      </c>
      <c r="C114" s="9" t="n"/>
      <c r="D114" s="4">
        <f>IF(AND(A114&lt;=TODAY(),C114=""),$C$2,0)</f>
        <v/>
      </c>
      <c r="E114" s="2" t="n"/>
      <c r="F114" s="2" t="n"/>
      <c r="G114" s="4">
        <f>D114+E114</f>
        <v/>
      </c>
      <c r="H114" s="4">
        <f>IF(A114&gt;TODAY(),"",N(H113)+G114-F114)</f>
        <v/>
      </c>
    </row>
    <row r="115">
      <c r="A115" s="8" t="n">
        <v>46416</v>
      </c>
      <c r="B115" t="inlineStr">
        <is>
          <t>Пт</t>
        </is>
      </c>
      <c r="C115" s="9" t="n"/>
      <c r="D115" s="4">
        <f>IF(AND(A115&lt;=TODAY(),C115=""),$C$2,0)</f>
        <v/>
      </c>
      <c r="E115" s="2" t="n"/>
      <c r="F115" s="2" t="n"/>
      <c r="G115" s="4">
        <f>D115+E115</f>
        <v/>
      </c>
      <c r="H115" s="4">
        <f>IF(A115&gt;TODAY(),"",N(H114)+G115-F115)</f>
        <v/>
      </c>
    </row>
    <row r="116">
      <c r="A116" s="8" t="n">
        <v>46419</v>
      </c>
      <c r="B116" t="inlineStr">
        <is>
          <t>Пн</t>
        </is>
      </c>
      <c r="C116" s="9" t="n"/>
      <c r="D116" s="4">
        <f>IF(AND(A116&lt;=TODAY(),C116=""),$C$2,0)</f>
        <v/>
      </c>
      <c r="E116" s="2" t="n"/>
      <c r="F116" s="2" t="n"/>
      <c r="G116" s="4">
        <f>D116+E116</f>
        <v/>
      </c>
      <c r="H116" s="4">
        <f>IF(A116&gt;TODAY(),"",N(H115)+G116-F116)</f>
        <v/>
      </c>
    </row>
    <row r="117">
      <c r="A117" s="8" t="n">
        <v>46420</v>
      </c>
      <c r="B117" t="inlineStr">
        <is>
          <t>Вт</t>
        </is>
      </c>
      <c r="C117" s="9" t="n"/>
      <c r="D117" s="4">
        <f>IF(AND(A117&lt;=TODAY(),C117=""),$C$2,0)</f>
        <v/>
      </c>
      <c r="E117" s="2" t="n"/>
      <c r="F117" s="2" t="n"/>
      <c r="G117" s="4">
        <f>D117+E117</f>
        <v/>
      </c>
      <c r="H117" s="4">
        <f>IF(A117&gt;TODAY(),"",N(H116)+G117-F117)</f>
        <v/>
      </c>
    </row>
    <row r="118">
      <c r="A118" s="8" t="n">
        <v>46421</v>
      </c>
      <c r="B118" t="inlineStr">
        <is>
          <t>Ср</t>
        </is>
      </c>
      <c r="C118" s="9" t="n"/>
      <c r="D118" s="4">
        <f>IF(AND(A118&lt;=TODAY(),C118=""),$C$2,0)</f>
        <v/>
      </c>
      <c r="E118" s="2" t="n"/>
      <c r="F118" s="2" t="n"/>
      <c r="G118" s="4">
        <f>D118+E118</f>
        <v/>
      </c>
      <c r="H118" s="4">
        <f>IF(A118&gt;TODAY(),"",N(H117)+G118-F118)</f>
        <v/>
      </c>
    </row>
    <row r="119">
      <c r="A119" s="8" t="n">
        <v>46422</v>
      </c>
      <c r="B119" t="inlineStr">
        <is>
          <t>Чт</t>
        </is>
      </c>
      <c r="C119" s="9" t="n"/>
      <c r="D119" s="4">
        <f>IF(AND(A119&lt;=TODAY(),C119=""),$C$2,0)</f>
        <v/>
      </c>
      <c r="E119" s="2" t="n"/>
      <c r="F119" s="2" t="n"/>
      <c r="G119" s="4">
        <f>D119+E119</f>
        <v/>
      </c>
      <c r="H119" s="4">
        <f>IF(A119&gt;TODAY(),"",N(H118)+G119-F119)</f>
        <v/>
      </c>
    </row>
    <row r="120">
      <c r="A120" s="8" t="n">
        <v>46423</v>
      </c>
      <c r="B120" t="inlineStr">
        <is>
          <t>Пт</t>
        </is>
      </c>
      <c r="C120" s="9" t="n"/>
      <c r="D120" s="4">
        <f>IF(AND(A120&lt;=TODAY(),C120=""),$C$2,0)</f>
        <v/>
      </c>
      <c r="E120" s="2" t="n"/>
      <c r="F120" s="2" t="n"/>
      <c r="G120" s="4">
        <f>D120+E120</f>
        <v/>
      </c>
      <c r="H120" s="4">
        <f>IF(A120&gt;TODAY(),"",N(H119)+G120-F120)</f>
        <v/>
      </c>
    </row>
    <row r="121">
      <c r="A121" s="8" t="n">
        <v>46426</v>
      </c>
      <c r="B121" t="inlineStr">
        <is>
          <t>Пн</t>
        </is>
      </c>
      <c r="C121" s="9" t="n"/>
      <c r="D121" s="4">
        <f>IF(AND(A121&lt;=TODAY(),C121=""),$C$2,0)</f>
        <v/>
      </c>
      <c r="E121" s="2" t="n"/>
      <c r="F121" s="2" t="n"/>
      <c r="G121" s="4">
        <f>D121+E121</f>
        <v/>
      </c>
      <c r="H121" s="4">
        <f>IF(A121&gt;TODAY(),"",N(H120)+G121-F121)</f>
        <v/>
      </c>
    </row>
    <row r="122">
      <c r="A122" s="8" t="n">
        <v>46427</v>
      </c>
      <c r="B122" t="inlineStr">
        <is>
          <t>Вт</t>
        </is>
      </c>
      <c r="C122" s="9" t="n"/>
      <c r="D122" s="4">
        <f>IF(AND(A122&lt;=TODAY(),C122=""),$C$2,0)</f>
        <v/>
      </c>
      <c r="E122" s="2" t="n"/>
      <c r="F122" s="2" t="n"/>
      <c r="G122" s="4">
        <f>D122+E122</f>
        <v/>
      </c>
      <c r="H122" s="4">
        <f>IF(A122&gt;TODAY(),"",N(H121)+G122-F122)</f>
        <v/>
      </c>
    </row>
    <row r="123">
      <c r="A123" s="8" t="n">
        <v>46428</v>
      </c>
      <c r="B123" t="inlineStr">
        <is>
          <t>Ср</t>
        </is>
      </c>
      <c r="C123" s="9" t="n"/>
      <c r="D123" s="4">
        <f>IF(AND(A123&lt;=TODAY(),C123=""),$C$2,0)</f>
        <v/>
      </c>
      <c r="E123" s="2" t="n"/>
      <c r="F123" s="2" t="n"/>
      <c r="G123" s="4">
        <f>D123+E123</f>
        <v/>
      </c>
      <c r="H123" s="4">
        <f>IF(A123&gt;TODAY(),"",N(H122)+G123-F123)</f>
        <v/>
      </c>
    </row>
    <row r="124">
      <c r="A124" s="8" t="n">
        <v>46429</v>
      </c>
      <c r="B124" t="inlineStr">
        <is>
          <t>Чт</t>
        </is>
      </c>
      <c r="C124" s="9" t="n"/>
      <c r="D124" s="4">
        <f>IF(AND(A124&lt;=TODAY(),C124=""),$C$2,0)</f>
        <v/>
      </c>
      <c r="E124" s="2" t="n"/>
      <c r="F124" s="2" t="n"/>
      <c r="G124" s="4">
        <f>D124+E124</f>
        <v/>
      </c>
      <c r="H124" s="4">
        <f>IF(A124&gt;TODAY(),"",N(H123)+G124-F124)</f>
        <v/>
      </c>
    </row>
    <row r="125">
      <c r="A125" s="8" t="n">
        <v>46430</v>
      </c>
      <c r="B125" t="inlineStr">
        <is>
          <t>Пт</t>
        </is>
      </c>
      <c r="C125" s="9" t="n"/>
      <c r="D125" s="4">
        <f>IF(AND(A125&lt;=TODAY(),C125=""),$C$2,0)</f>
        <v/>
      </c>
      <c r="E125" s="2" t="n"/>
      <c r="F125" s="2" t="n"/>
      <c r="G125" s="4">
        <f>D125+E125</f>
        <v/>
      </c>
      <c r="H125" s="4">
        <f>IF(A125&gt;TODAY(),"",N(H124)+G125-F125)</f>
        <v/>
      </c>
    </row>
    <row r="126">
      <c r="A126" s="8" t="n">
        <v>46433</v>
      </c>
      <c r="B126" t="inlineStr">
        <is>
          <t>Пн</t>
        </is>
      </c>
      <c r="C126" s="9" t="n"/>
      <c r="D126" s="4">
        <f>IF(AND(A126&lt;=TODAY(),C126=""),$C$2,0)</f>
        <v/>
      </c>
      <c r="E126" s="2" t="n"/>
      <c r="F126" s="2" t="n"/>
      <c r="G126" s="4">
        <f>D126+E126</f>
        <v/>
      </c>
      <c r="H126" s="4">
        <f>IF(A126&gt;TODAY(),"",N(H125)+G126-F126)</f>
        <v/>
      </c>
    </row>
    <row r="127">
      <c r="A127" s="8" t="n">
        <v>46434</v>
      </c>
      <c r="B127" t="inlineStr">
        <is>
          <t>Вт</t>
        </is>
      </c>
      <c r="C127" s="9" t="n"/>
      <c r="D127" s="4">
        <f>IF(AND(A127&lt;=TODAY(),C127=""),$C$2,0)</f>
        <v/>
      </c>
      <c r="E127" s="2" t="n"/>
      <c r="F127" s="2" t="n"/>
      <c r="G127" s="4">
        <f>D127+E127</f>
        <v/>
      </c>
      <c r="H127" s="4">
        <f>IF(A127&gt;TODAY(),"",N(H126)+G127-F127)</f>
        <v/>
      </c>
    </row>
    <row r="128">
      <c r="A128" s="8" t="n">
        <v>46435</v>
      </c>
      <c r="B128" t="inlineStr">
        <is>
          <t>Ср</t>
        </is>
      </c>
      <c r="C128" s="9" t="n"/>
      <c r="D128" s="4">
        <f>IF(AND(A128&lt;=TODAY(),C128=""),$C$2,0)</f>
        <v/>
      </c>
      <c r="E128" s="2" t="n"/>
      <c r="F128" s="2" t="n"/>
      <c r="G128" s="4">
        <f>D128+E128</f>
        <v/>
      </c>
      <c r="H128" s="4">
        <f>IF(A128&gt;TODAY(),"",N(H127)+G128-F128)</f>
        <v/>
      </c>
    </row>
    <row r="129">
      <c r="A129" s="8" t="n">
        <v>46436</v>
      </c>
      <c r="B129" t="inlineStr">
        <is>
          <t>Чт</t>
        </is>
      </c>
      <c r="C129" s="9" t="n"/>
      <c r="D129" s="4">
        <f>IF(AND(A129&lt;=TODAY(),C129=""),$C$2,0)</f>
        <v/>
      </c>
      <c r="E129" s="2" t="n"/>
      <c r="F129" s="2" t="n"/>
      <c r="G129" s="4">
        <f>D129+E129</f>
        <v/>
      </c>
      <c r="H129" s="4">
        <f>IF(A129&gt;TODAY(),"",N(H128)+G129-F129)</f>
        <v/>
      </c>
    </row>
    <row r="130">
      <c r="A130" s="8" t="n">
        <v>46437</v>
      </c>
      <c r="B130" t="inlineStr">
        <is>
          <t>Пт</t>
        </is>
      </c>
      <c r="C130" s="9" t="n"/>
      <c r="D130" s="4">
        <f>IF(AND(A130&lt;=TODAY(),C130=""),$C$2,0)</f>
        <v/>
      </c>
      <c r="E130" s="2" t="n"/>
      <c r="F130" s="2" t="n"/>
      <c r="G130" s="4">
        <f>D130+E130</f>
        <v/>
      </c>
      <c r="H130" s="4">
        <f>IF(A130&gt;TODAY(),"",N(H129)+G130-F130)</f>
        <v/>
      </c>
    </row>
    <row r="131">
      <c r="A131" s="8" t="n">
        <v>46440</v>
      </c>
      <c r="B131" t="inlineStr">
        <is>
          <t>Пн</t>
        </is>
      </c>
      <c r="C131" s="9" t="n"/>
      <c r="D131" s="4">
        <f>IF(AND(A131&lt;=TODAY(),C131=""),$C$2,0)</f>
        <v/>
      </c>
      <c r="E131" s="2" t="n"/>
      <c r="F131" s="2" t="n"/>
      <c r="G131" s="4">
        <f>D131+E131</f>
        <v/>
      </c>
      <c r="H131" s="4">
        <f>IF(A131&gt;TODAY(),"",N(H130)+G131-F131)</f>
        <v/>
      </c>
    </row>
    <row r="132">
      <c r="A132" s="8" t="n">
        <v>46441</v>
      </c>
      <c r="B132" t="inlineStr">
        <is>
          <t>Вт</t>
        </is>
      </c>
      <c r="C132" s="9" t="n"/>
      <c r="D132" s="4">
        <f>IF(AND(A132&lt;=TODAY(),C132=""),$C$2,0)</f>
        <v/>
      </c>
      <c r="E132" s="2" t="n"/>
      <c r="F132" s="2" t="n"/>
      <c r="G132" s="4">
        <f>D132+E132</f>
        <v/>
      </c>
      <c r="H132" s="4">
        <f>IF(A132&gt;TODAY(),"",N(H131)+G132-F132)</f>
        <v/>
      </c>
    </row>
    <row r="133">
      <c r="A133" s="8" t="n">
        <v>46442</v>
      </c>
      <c r="B133" t="inlineStr">
        <is>
          <t>Ср</t>
        </is>
      </c>
      <c r="C133" s="9" t="n"/>
      <c r="D133" s="4">
        <f>IF(AND(A133&lt;=TODAY(),C133=""),$C$2,0)</f>
        <v/>
      </c>
      <c r="E133" s="2" t="n"/>
      <c r="F133" s="2" t="n"/>
      <c r="G133" s="4">
        <f>D133+E133</f>
        <v/>
      </c>
      <c r="H133" s="4">
        <f>IF(A133&gt;TODAY(),"",N(H132)+G133-F133)</f>
        <v/>
      </c>
    </row>
    <row r="134">
      <c r="A134" s="8" t="n">
        <v>46443</v>
      </c>
      <c r="B134" t="inlineStr">
        <is>
          <t>Чт</t>
        </is>
      </c>
      <c r="C134" s="9" t="n"/>
      <c r="D134" s="4">
        <f>IF(AND(A134&lt;=TODAY(),C134=""),$C$2,0)</f>
        <v/>
      </c>
      <c r="E134" s="2" t="n"/>
      <c r="F134" s="2" t="n"/>
      <c r="G134" s="4">
        <f>D134+E134</f>
        <v/>
      </c>
      <c r="H134" s="4">
        <f>IF(A134&gt;TODAY(),"",N(H133)+G134-F134)</f>
        <v/>
      </c>
    </row>
    <row r="135">
      <c r="A135" s="8" t="n">
        <v>46444</v>
      </c>
      <c r="B135" t="inlineStr">
        <is>
          <t>Пт</t>
        </is>
      </c>
      <c r="C135" s="9" t="n"/>
      <c r="D135" s="4">
        <f>IF(AND(A135&lt;=TODAY(),C135=""),$C$2,0)</f>
        <v/>
      </c>
      <c r="E135" s="2" t="n"/>
      <c r="F135" s="2" t="n"/>
      <c r="G135" s="4">
        <f>D135+E135</f>
        <v/>
      </c>
      <c r="H135" s="4">
        <f>IF(A135&gt;TODAY(),"",N(H134)+G135-F135)</f>
        <v/>
      </c>
    </row>
    <row r="136">
      <c r="A136" s="8" t="n">
        <v>46447</v>
      </c>
      <c r="B136" t="inlineStr">
        <is>
          <t>Пн</t>
        </is>
      </c>
      <c r="C136" s="9" t="n"/>
      <c r="D136" s="4">
        <f>IF(AND(A136&lt;=TODAY(),C136=""),$C$2,0)</f>
        <v/>
      </c>
      <c r="E136" s="2" t="n"/>
      <c r="F136" s="2" t="n"/>
      <c r="G136" s="4">
        <f>D136+E136</f>
        <v/>
      </c>
      <c r="H136" s="4">
        <f>IF(A136&gt;TODAY(),"",N(H135)+G136-F136)</f>
        <v/>
      </c>
    </row>
    <row r="137">
      <c r="A137" s="8" t="n">
        <v>46448</v>
      </c>
      <c r="B137" t="inlineStr">
        <is>
          <t>Вт</t>
        </is>
      </c>
      <c r="C137" s="9" t="n"/>
      <c r="D137" s="4">
        <f>IF(AND(A137&lt;=TODAY(),C137=""),$C$2,0)</f>
        <v/>
      </c>
      <c r="E137" s="2" t="n"/>
      <c r="F137" s="2" t="n"/>
      <c r="G137" s="4">
        <f>D137+E137</f>
        <v/>
      </c>
      <c r="H137" s="4">
        <f>IF(A137&gt;TODAY(),"",N(H136)+G137-F137)</f>
        <v/>
      </c>
    </row>
    <row r="138">
      <c r="A138" s="8" t="n">
        <v>46449</v>
      </c>
      <c r="B138" t="inlineStr">
        <is>
          <t>Ср</t>
        </is>
      </c>
      <c r="C138" s="9" t="n"/>
      <c r="D138" s="4">
        <f>IF(AND(A138&lt;=TODAY(),C138=""),$C$2,0)</f>
        <v/>
      </c>
      <c r="E138" s="2" t="n"/>
      <c r="F138" s="2" t="n"/>
      <c r="G138" s="4">
        <f>D138+E138</f>
        <v/>
      </c>
      <c r="H138" s="4">
        <f>IF(A138&gt;TODAY(),"",N(H137)+G138-F138)</f>
        <v/>
      </c>
    </row>
    <row r="139">
      <c r="A139" s="8" t="n">
        <v>46450</v>
      </c>
      <c r="B139" t="inlineStr">
        <is>
          <t>Чт</t>
        </is>
      </c>
      <c r="C139" s="9" t="n"/>
      <c r="D139" s="4">
        <f>IF(AND(A139&lt;=TODAY(),C139=""),$C$2,0)</f>
        <v/>
      </c>
      <c r="E139" s="2" t="n"/>
      <c r="F139" s="2" t="n"/>
      <c r="G139" s="4">
        <f>D139+E139</f>
        <v/>
      </c>
      <c r="H139" s="4">
        <f>IF(A139&gt;TODAY(),"",N(H138)+G139-F139)</f>
        <v/>
      </c>
    </row>
    <row r="140">
      <c r="A140" s="8" t="n">
        <v>46451</v>
      </c>
      <c r="B140" t="inlineStr">
        <is>
          <t>Пт</t>
        </is>
      </c>
      <c r="C140" s="9" t="n"/>
      <c r="D140" s="4">
        <f>IF(AND(A140&lt;=TODAY(),C140=""),$C$2,0)</f>
        <v/>
      </c>
      <c r="E140" s="2" t="n"/>
      <c r="F140" s="2" t="n"/>
      <c r="G140" s="4">
        <f>D140+E140</f>
        <v/>
      </c>
      <c r="H140" s="4">
        <f>IF(A140&gt;TODAY(),"",N(H139)+G140-F140)</f>
        <v/>
      </c>
    </row>
    <row r="141">
      <c r="A141" s="8" t="n">
        <v>46454</v>
      </c>
      <c r="B141" t="inlineStr">
        <is>
          <t>Пн</t>
        </is>
      </c>
      <c r="C141" s="9" t="n"/>
      <c r="D141" s="4">
        <f>IF(AND(A141&lt;=TODAY(),C141=""),$C$2,0)</f>
        <v/>
      </c>
      <c r="E141" s="2" t="n"/>
      <c r="F141" s="2" t="n"/>
      <c r="G141" s="4">
        <f>D141+E141</f>
        <v/>
      </c>
      <c r="H141" s="4">
        <f>IF(A141&gt;TODAY(),"",N(H140)+G141-F141)</f>
        <v/>
      </c>
    </row>
    <row r="142">
      <c r="A142" s="8" t="n">
        <v>46455</v>
      </c>
      <c r="B142" t="inlineStr">
        <is>
          <t>Вт</t>
        </is>
      </c>
      <c r="C142" s="9" t="n"/>
      <c r="D142" s="4">
        <f>IF(AND(A142&lt;=TODAY(),C142=""),$C$2,0)</f>
        <v/>
      </c>
      <c r="E142" s="2" t="n"/>
      <c r="F142" s="2" t="n"/>
      <c r="G142" s="4">
        <f>D142+E142</f>
        <v/>
      </c>
      <c r="H142" s="4">
        <f>IF(A142&gt;TODAY(),"",N(H141)+G142-F142)</f>
        <v/>
      </c>
    </row>
    <row r="143">
      <c r="A143" s="8" t="n">
        <v>46456</v>
      </c>
      <c r="B143" t="inlineStr">
        <is>
          <t>Ср</t>
        </is>
      </c>
      <c r="C143" s="9" t="n"/>
      <c r="D143" s="4">
        <f>IF(AND(A143&lt;=TODAY(),C143=""),$C$2,0)</f>
        <v/>
      </c>
      <c r="E143" s="2" t="n"/>
      <c r="F143" s="2" t="n"/>
      <c r="G143" s="4">
        <f>D143+E143</f>
        <v/>
      </c>
      <c r="H143" s="4">
        <f>IF(A143&gt;TODAY(),"",N(H142)+G143-F143)</f>
        <v/>
      </c>
    </row>
    <row r="144">
      <c r="A144" s="8" t="n">
        <v>46457</v>
      </c>
      <c r="B144" t="inlineStr">
        <is>
          <t>Чт</t>
        </is>
      </c>
      <c r="C144" s="9" t="n"/>
      <c r="D144" s="4">
        <f>IF(AND(A144&lt;=TODAY(),C144=""),$C$2,0)</f>
        <v/>
      </c>
      <c r="E144" s="2" t="n"/>
      <c r="F144" s="2" t="n"/>
      <c r="G144" s="4">
        <f>D144+E144</f>
        <v/>
      </c>
      <c r="H144" s="4">
        <f>IF(A144&gt;TODAY(),"",N(H143)+G144-F144)</f>
        <v/>
      </c>
    </row>
    <row r="145">
      <c r="A145" s="8" t="n">
        <v>46458</v>
      </c>
      <c r="B145" t="inlineStr">
        <is>
          <t>Пт</t>
        </is>
      </c>
      <c r="C145" s="9" t="n"/>
      <c r="D145" s="4">
        <f>IF(AND(A145&lt;=TODAY(),C145=""),$C$2,0)</f>
        <v/>
      </c>
      <c r="E145" s="2" t="n"/>
      <c r="F145" s="2" t="n"/>
      <c r="G145" s="4">
        <f>D145+E145</f>
        <v/>
      </c>
      <c r="H145" s="4">
        <f>IF(A145&gt;TODAY(),"",N(H144)+G145-F145)</f>
        <v/>
      </c>
    </row>
    <row r="146">
      <c r="A146" s="8" t="n">
        <v>46461</v>
      </c>
      <c r="B146" t="inlineStr">
        <is>
          <t>Пн</t>
        </is>
      </c>
      <c r="C146" s="9" t="n"/>
      <c r="D146" s="4">
        <f>IF(AND(A146&lt;=TODAY(),C146=""),$C$2,0)</f>
        <v/>
      </c>
      <c r="E146" s="2" t="n"/>
      <c r="F146" s="2" t="n"/>
      <c r="G146" s="4">
        <f>D146+E146</f>
        <v/>
      </c>
      <c r="H146" s="4">
        <f>IF(A146&gt;TODAY(),"",N(H145)+G146-F146)</f>
        <v/>
      </c>
    </row>
    <row r="147">
      <c r="A147" s="8" t="n">
        <v>46462</v>
      </c>
      <c r="B147" t="inlineStr">
        <is>
          <t>Вт</t>
        </is>
      </c>
      <c r="C147" s="9" t="n"/>
      <c r="D147" s="4">
        <f>IF(AND(A147&lt;=TODAY(),C147=""),$C$2,0)</f>
        <v/>
      </c>
      <c r="E147" s="2" t="n"/>
      <c r="F147" s="2" t="n"/>
      <c r="G147" s="4">
        <f>D147+E147</f>
        <v/>
      </c>
      <c r="H147" s="4">
        <f>IF(A147&gt;TODAY(),"",N(H146)+G147-F147)</f>
        <v/>
      </c>
    </row>
    <row r="148">
      <c r="A148" s="8" t="n">
        <v>46463</v>
      </c>
      <c r="B148" t="inlineStr">
        <is>
          <t>Ср</t>
        </is>
      </c>
      <c r="C148" s="9" t="n"/>
      <c r="D148" s="4">
        <f>IF(AND(A148&lt;=TODAY(),C148=""),$C$2,0)</f>
        <v/>
      </c>
      <c r="E148" s="2" t="n"/>
      <c r="F148" s="2" t="n"/>
      <c r="G148" s="4">
        <f>D148+E148</f>
        <v/>
      </c>
      <c r="H148" s="4">
        <f>IF(A148&gt;TODAY(),"",N(H147)+G148-F148)</f>
        <v/>
      </c>
    </row>
    <row r="149">
      <c r="A149" s="8" t="n">
        <v>46464</v>
      </c>
      <c r="B149" t="inlineStr">
        <is>
          <t>Чт</t>
        </is>
      </c>
      <c r="C149" s="9" t="n"/>
      <c r="D149" s="4">
        <f>IF(AND(A149&lt;=TODAY(),C149=""),$C$2,0)</f>
        <v/>
      </c>
      <c r="E149" s="2" t="n"/>
      <c r="F149" s="2" t="n"/>
      <c r="G149" s="4">
        <f>D149+E149</f>
        <v/>
      </c>
      <c r="H149" s="4">
        <f>IF(A149&gt;TODAY(),"",N(H148)+G149-F149)</f>
        <v/>
      </c>
    </row>
    <row r="150">
      <c r="A150" s="8" t="n">
        <v>46465</v>
      </c>
      <c r="B150" t="inlineStr">
        <is>
          <t>Пт</t>
        </is>
      </c>
      <c r="C150" s="9" t="n"/>
      <c r="D150" s="4">
        <f>IF(AND(A150&lt;=TODAY(),C150=""),$C$2,0)</f>
        <v/>
      </c>
      <c r="E150" s="2" t="n"/>
      <c r="F150" s="2" t="n"/>
      <c r="G150" s="4">
        <f>D150+E150</f>
        <v/>
      </c>
      <c r="H150" s="4">
        <f>IF(A150&gt;TODAY(),"",N(H149)+G150-F150)</f>
        <v/>
      </c>
    </row>
    <row r="151">
      <c r="A151" s="8" t="n">
        <v>46468</v>
      </c>
      <c r="B151" t="inlineStr">
        <is>
          <t>Пн</t>
        </is>
      </c>
      <c r="C151" s="9" t="n"/>
      <c r="D151" s="4">
        <f>IF(AND(A151&lt;=TODAY(),C151=""),$C$2,0)</f>
        <v/>
      </c>
      <c r="E151" s="2" t="n"/>
      <c r="F151" s="2" t="n"/>
      <c r="G151" s="4">
        <f>D151+E151</f>
        <v/>
      </c>
      <c r="H151" s="4">
        <f>IF(A151&gt;TODAY(),"",N(H150)+G151-F151)</f>
        <v/>
      </c>
    </row>
    <row r="152">
      <c r="A152" s="8" t="n">
        <v>46469</v>
      </c>
      <c r="B152" t="inlineStr">
        <is>
          <t>Вт</t>
        </is>
      </c>
      <c r="C152" s="9" t="n"/>
      <c r="D152" s="4">
        <f>IF(AND(A152&lt;=TODAY(),C152=""),$C$2,0)</f>
        <v/>
      </c>
      <c r="E152" s="2" t="n"/>
      <c r="F152" s="2" t="n"/>
      <c r="G152" s="4">
        <f>D152+E152</f>
        <v/>
      </c>
      <c r="H152" s="4">
        <f>IF(A152&gt;TODAY(),"",N(H151)+G152-F152)</f>
        <v/>
      </c>
    </row>
    <row r="153">
      <c r="A153" s="8" t="n">
        <v>46470</v>
      </c>
      <c r="B153" t="inlineStr">
        <is>
          <t>Ср</t>
        </is>
      </c>
      <c r="C153" s="9" t="n"/>
      <c r="D153" s="4">
        <f>IF(AND(A153&lt;=TODAY(),C153=""),$C$2,0)</f>
        <v/>
      </c>
      <c r="E153" s="2" t="n"/>
      <c r="F153" s="2" t="n"/>
      <c r="G153" s="4">
        <f>D153+E153</f>
        <v/>
      </c>
      <c r="H153" s="4">
        <f>IF(A153&gt;TODAY(),"",N(H152)+G153-F153)</f>
        <v/>
      </c>
    </row>
    <row r="154">
      <c r="A154" s="8" t="n">
        <v>46471</v>
      </c>
      <c r="B154" t="inlineStr">
        <is>
          <t>Чт</t>
        </is>
      </c>
      <c r="C154" s="9" t="n"/>
      <c r="D154" s="4">
        <f>IF(AND(A154&lt;=TODAY(),C154=""),$C$2,0)</f>
        <v/>
      </c>
      <c r="E154" s="2" t="n"/>
      <c r="F154" s="2" t="n"/>
      <c r="G154" s="4">
        <f>D154+E154</f>
        <v/>
      </c>
      <c r="H154" s="4">
        <f>IF(A154&gt;TODAY(),"",N(H153)+G154-F154)</f>
        <v/>
      </c>
    </row>
    <row r="155">
      <c r="A155" s="8" t="n">
        <v>46472</v>
      </c>
      <c r="B155" t="inlineStr">
        <is>
          <t>Пт</t>
        </is>
      </c>
      <c r="C155" s="9" t="n"/>
      <c r="D155" s="4">
        <f>IF(AND(A155&lt;=TODAY(),C155=""),$C$2,0)</f>
        <v/>
      </c>
      <c r="E155" s="2" t="n"/>
      <c r="F155" s="2" t="n"/>
      <c r="G155" s="4">
        <f>D155+E155</f>
        <v/>
      </c>
      <c r="H155" s="4">
        <f>IF(A155&gt;TODAY(),"",N(H154)+G155-F155)</f>
        <v/>
      </c>
    </row>
    <row r="156">
      <c r="A156" s="8" t="n">
        <v>46475</v>
      </c>
      <c r="B156" t="inlineStr">
        <is>
          <t>Пн</t>
        </is>
      </c>
      <c r="C156" s="9" t="n"/>
      <c r="D156" s="4">
        <f>IF(AND(A156&lt;=TODAY(),C156=""),$C$2,0)</f>
        <v/>
      </c>
      <c r="E156" s="2" t="n"/>
      <c r="F156" s="2" t="n"/>
      <c r="G156" s="4">
        <f>D156+E156</f>
        <v/>
      </c>
      <c r="H156" s="4">
        <f>IF(A156&gt;TODAY(),"",N(H155)+G156-F156)</f>
        <v/>
      </c>
    </row>
    <row r="157">
      <c r="A157" s="8" t="n">
        <v>46476</v>
      </c>
      <c r="B157" t="inlineStr">
        <is>
          <t>Вт</t>
        </is>
      </c>
      <c r="C157" s="9" t="n"/>
      <c r="D157" s="4">
        <f>IF(AND(A157&lt;=TODAY(),C157=""),$C$2,0)</f>
        <v/>
      </c>
      <c r="E157" s="2" t="n"/>
      <c r="F157" s="2" t="n"/>
      <c r="G157" s="4">
        <f>D157+E157</f>
        <v/>
      </c>
      <c r="H157" s="4">
        <f>IF(A157&gt;TODAY(),"",N(H156)+G157-F157)</f>
        <v/>
      </c>
    </row>
    <row r="158">
      <c r="A158" s="8" t="n">
        <v>46477</v>
      </c>
      <c r="B158" t="inlineStr">
        <is>
          <t>Ср</t>
        </is>
      </c>
      <c r="C158" s="9" t="n"/>
      <c r="D158" s="4">
        <f>IF(AND(A158&lt;=TODAY(),C158=""),$C$2,0)</f>
        <v/>
      </c>
      <c r="E158" s="2" t="n"/>
      <c r="F158" s="2" t="n"/>
      <c r="G158" s="4">
        <f>D158+E158</f>
        <v/>
      </c>
      <c r="H158" s="4">
        <f>IF(A158&gt;TODAY(),"",N(H157)+G158-F158)</f>
        <v/>
      </c>
    </row>
    <row r="159">
      <c r="A159" s="8" t="n">
        <v>46478</v>
      </c>
      <c r="B159" t="inlineStr">
        <is>
          <t>Чт</t>
        </is>
      </c>
      <c r="C159" s="9" t="n"/>
      <c r="D159" s="4">
        <f>IF(AND(A159&lt;=TODAY(),C159=""),$C$2,0)</f>
        <v/>
      </c>
      <c r="E159" s="2" t="n"/>
      <c r="F159" s="2" t="n"/>
      <c r="G159" s="4">
        <f>D159+E159</f>
        <v/>
      </c>
      <c r="H159" s="4">
        <f>IF(A159&gt;TODAY(),"",N(H158)+G159-F159)</f>
        <v/>
      </c>
    </row>
    <row r="160">
      <c r="A160" s="8" t="n">
        <v>46479</v>
      </c>
      <c r="B160" t="inlineStr">
        <is>
          <t>Пт</t>
        </is>
      </c>
      <c r="C160" s="9" t="n"/>
      <c r="D160" s="4">
        <f>IF(AND(A160&lt;=TODAY(),C160=""),$C$2,0)</f>
        <v/>
      </c>
      <c r="E160" s="2" t="n"/>
      <c r="F160" s="2" t="n"/>
      <c r="G160" s="4">
        <f>D160+E160</f>
        <v/>
      </c>
      <c r="H160" s="4">
        <f>IF(A160&gt;TODAY(),"",N(H159)+G160-F160)</f>
        <v/>
      </c>
    </row>
    <row r="161">
      <c r="A161" s="8" t="n">
        <v>46482</v>
      </c>
      <c r="B161" t="inlineStr">
        <is>
          <t>Пн</t>
        </is>
      </c>
      <c r="C161" s="9" t="n"/>
      <c r="D161" s="4">
        <f>IF(AND(A161&lt;=TODAY(),C161=""),$C$2,0)</f>
        <v/>
      </c>
      <c r="E161" s="2" t="n"/>
      <c r="F161" s="2" t="n"/>
      <c r="G161" s="4">
        <f>D161+E161</f>
        <v/>
      </c>
      <c r="H161" s="4">
        <f>IF(A161&gt;TODAY(),"",N(H160)+G161-F161)</f>
        <v/>
      </c>
    </row>
    <row r="162">
      <c r="A162" s="8" t="n">
        <v>46483</v>
      </c>
      <c r="B162" t="inlineStr">
        <is>
          <t>Вт</t>
        </is>
      </c>
      <c r="C162" s="9" t="n"/>
      <c r="D162" s="4">
        <f>IF(AND(A162&lt;=TODAY(),C162=""),$C$2,0)</f>
        <v/>
      </c>
      <c r="E162" s="2" t="n"/>
      <c r="F162" s="2" t="n"/>
      <c r="G162" s="4">
        <f>D162+E162</f>
        <v/>
      </c>
      <c r="H162" s="4">
        <f>IF(A162&gt;TODAY(),"",N(H161)+G162-F162)</f>
        <v/>
      </c>
    </row>
    <row r="163">
      <c r="A163" s="8" t="n">
        <v>46484</v>
      </c>
      <c r="B163" t="inlineStr">
        <is>
          <t>Ср</t>
        </is>
      </c>
      <c r="C163" s="9" t="n"/>
      <c r="D163" s="4">
        <f>IF(AND(A163&lt;=TODAY(),C163=""),$C$2,0)</f>
        <v/>
      </c>
      <c r="E163" s="2" t="n"/>
      <c r="F163" s="2" t="n"/>
      <c r="G163" s="4">
        <f>D163+E163</f>
        <v/>
      </c>
      <c r="H163" s="4">
        <f>IF(A163&gt;TODAY(),"",N(H162)+G163-F163)</f>
        <v/>
      </c>
    </row>
    <row r="164">
      <c r="A164" s="8" t="n">
        <v>46485</v>
      </c>
      <c r="B164" t="inlineStr">
        <is>
          <t>Чт</t>
        </is>
      </c>
      <c r="C164" s="9" t="n"/>
      <c r="D164" s="4">
        <f>IF(AND(A164&lt;=TODAY(),C164=""),$C$2,0)</f>
        <v/>
      </c>
      <c r="E164" s="2" t="n"/>
      <c r="F164" s="2" t="n"/>
      <c r="G164" s="4">
        <f>D164+E164</f>
        <v/>
      </c>
      <c r="H164" s="4">
        <f>IF(A164&gt;TODAY(),"",N(H163)+G164-F164)</f>
        <v/>
      </c>
    </row>
    <row r="165">
      <c r="A165" s="8" t="n">
        <v>46486</v>
      </c>
      <c r="B165" t="inlineStr">
        <is>
          <t>Пт</t>
        </is>
      </c>
      <c r="C165" s="9" t="n"/>
      <c r="D165" s="4">
        <f>IF(AND(A165&lt;=TODAY(),C165=""),$C$2,0)</f>
        <v/>
      </c>
      <c r="E165" s="2" t="n"/>
      <c r="F165" s="2" t="n"/>
      <c r="G165" s="4">
        <f>D165+E165</f>
        <v/>
      </c>
      <c r="H165" s="4">
        <f>IF(A165&gt;TODAY(),"",N(H164)+G165-F165)</f>
        <v/>
      </c>
    </row>
    <row r="166">
      <c r="A166" s="8" t="n">
        <v>46489</v>
      </c>
      <c r="B166" t="inlineStr">
        <is>
          <t>Пн</t>
        </is>
      </c>
      <c r="C166" s="9" t="n"/>
      <c r="D166" s="4">
        <f>IF(AND(A166&lt;=TODAY(),C166=""),$C$2,0)</f>
        <v/>
      </c>
      <c r="E166" s="2" t="n"/>
      <c r="F166" s="2" t="n"/>
      <c r="G166" s="4">
        <f>D166+E166</f>
        <v/>
      </c>
      <c r="H166" s="4">
        <f>IF(A166&gt;TODAY(),"",N(H165)+G166-F166)</f>
        <v/>
      </c>
    </row>
    <row r="167">
      <c r="A167" s="8" t="n">
        <v>46490</v>
      </c>
      <c r="B167" t="inlineStr">
        <is>
          <t>Вт</t>
        </is>
      </c>
      <c r="C167" s="9" t="n"/>
      <c r="D167" s="4">
        <f>IF(AND(A167&lt;=TODAY(),C167=""),$C$2,0)</f>
        <v/>
      </c>
      <c r="E167" s="2" t="n"/>
      <c r="F167" s="2" t="n"/>
      <c r="G167" s="4">
        <f>D167+E167</f>
        <v/>
      </c>
      <c r="H167" s="4">
        <f>IF(A167&gt;TODAY(),"",N(H166)+G167-F167)</f>
        <v/>
      </c>
    </row>
    <row r="168">
      <c r="A168" s="8" t="n">
        <v>46491</v>
      </c>
      <c r="B168" t="inlineStr">
        <is>
          <t>Ср</t>
        </is>
      </c>
      <c r="C168" s="9" t="n"/>
      <c r="D168" s="4">
        <f>IF(AND(A168&lt;=TODAY(),C168=""),$C$2,0)</f>
        <v/>
      </c>
      <c r="E168" s="2" t="n"/>
      <c r="F168" s="2" t="n"/>
      <c r="G168" s="4">
        <f>D168+E168</f>
        <v/>
      </c>
      <c r="H168" s="4">
        <f>IF(A168&gt;TODAY(),"",N(H167)+G168-F168)</f>
        <v/>
      </c>
    </row>
    <row r="169">
      <c r="A169" s="8" t="n">
        <v>46492</v>
      </c>
      <c r="B169" t="inlineStr">
        <is>
          <t>Чт</t>
        </is>
      </c>
      <c r="C169" s="9" t="n"/>
      <c r="D169" s="4">
        <f>IF(AND(A169&lt;=TODAY(),C169=""),$C$2,0)</f>
        <v/>
      </c>
      <c r="E169" s="2" t="n"/>
      <c r="F169" s="2" t="n"/>
      <c r="G169" s="4">
        <f>D169+E169</f>
        <v/>
      </c>
      <c r="H169" s="4">
        <f>IF(A169&gt;TODAY(),"",N(H168)+G169-F169)</f>
        <v/>
      </c>
    </row>
    <row r="170">
      <c r="A170" s="8" t="n">
        <v>46493</v>
      </c>
      <c r="B170" t="inlineStr">
        <is>
          <t>Пт</t>
        </is>
      </c>
      <c r="C170" s="9" t="n"/>
      <c r="D170" s="4">
        <f>IF(AND(A170&lt;=TODAY(),C170=""),$C$2,0)</f>
        <v/>
      </c>
      <c r="E170" s="2" t="n"/>
      <c r="F170" s="2" t="n"/>
      <c r="G170" s="4">
        <f>D170+E170</f>
        <v/>
      </c>
      <c r="H170" s="4">
        <f>IF(A170&gt;TODAY(),"",N(H169)+G170-F170)</f>
        <v/>
      </c>
    </row>
    <row r="171">
      <c r="A171" s="8" t="n">
        <v>46496</v>
      </c>
      <c r="B171" t="inlineStr">
        <is>
          <t>Пн</t>
        </is>
      </c>
      <c r="C171" s="9" t="n"/>
      <c r="D171" s="4">
        <f>IF(AND(A171&lt;=TODAY(),C171=""),$C$2,0)</f>
        <v/>
      </c>
      <c r="E171" s="2" t="n"/>
      <c r="F171" s="2" t="n"/>
      <c r="G171" s="4">
        <f>D171+E171</f>
        <v/>
      </c>
      <c r="H171" s="4">
        <f>IF(A171&gt;TODAY(),"",N(H170)+G171-F171)</f>
        <v/>
      </c>
    </row>
    <row r="172">
      <c r="A172" s="8" t="n">
        <v>46497</v>
      </c>
      <c r="B172" t="inlineStr">
        <is>
          <t>Вт</t>
        </is>
      </c>
      <c r="C172" s="9" t="n"/>
      <c r="D172" s="4">
        <f>IF(AND(A172&lt;=TODAY(),C172=""),$C$2,0)</f>
        <v/>
      </c>
      <c r="E172" s="2" t="n"/>
      <c r="F172" s="2" t="n"/>
      <c r="G172" s="4">
        <f>D172+E172</f>
        <v/>
      </c>
      <c r="H172" s="4">
        <f>IF(A172&gt;TODAY(),"",N(H171)+G172-F172)</f>
        <v/>
      </c>
    </row>
    <row r="173">
      <c r="A173" s="8" t="n">
        <v>46498</v>
      </c>
      <c r="B173" t="inlineStr">
        <is>
          <t>Ср</t>
        </is>
      </c>
      <c r="C173" s="9" t="n"/>
      <c r="D173" s="4">
        <f>IF(AND(A173&lt;=TODAY(),C173=""),$C$2,0)</f>
        <v/>
      </c>
      <c r="E173" s="2" t="n"/>
      <c r="F173" s="2" t="n"/>
      <c r="G173" s="4">
        <f>D173+E173</f>
        <v/>
      </c>
      <c r="H173" s="4">
        <f>IF(A173&gt;TODAY(),"",N(H172)+G173-F173)</f>
        <v/>
      </c>
    </row>
    <row r="174">
      <c r="A174" s="8" t="n">
        <v>46499</v>
      </c>
      <c r="B174" t="inlineStr">
        <is>
          <t>Чт</t>
        </is>
      </c>
      <c r="C174" s="9" t="n"/>
      <c r="D174" s="4">
        <f>IF(AND(A174&lt;=TODAY(),C174=""),$C$2,0)</f>
        <v/>
      </c>
      <c r="E174" s="2" t="n"/>
      <c r="F174" s="2" t="n"/>
      <c r="G174" s="4">
        <f>D174+E174</f>
        <v/>
      </c>
      <c r="H174" s="4">
        <f>IF(A174&gt;TODAY(),"",N(H173)+G174-F174)</f>
        <v/>
      </c>
    </row>
    <row r="175">
      <c r="A175" s="8" t="n">
        <v>46500</v>
      </c>
      <c r="B175" t="inlineStr">
        <is>
          <t>Пт</t>
        </is>
      </c>
      <c r="C175" s="9" t="n"/>
      <c r="D175" s="4">
        <f>IF(AND(A175&lt;=TODAY(),C175=""),$C$2,0)</f>
        <v/>
      </c>
      <c r="E175" s="2" t="n"/>
      <c r="F175" s="2" t="n"/>
      <c r="G175" s="4">
        <f>D175+E175</f>
        <v/>
      </c>
      <c r="H175" s="4">
        <f>IF(A175&gt;TODAY(),"",N(H174)+G175-F175)</f>
        <v/>
      </c>
    </row>
    <row r="176">
      <c r="A176" s="8" t="n">
        <v>46503</v>
      </c>
      <c r="B176" t="inlineStr">
        <is>
          <t>Пн</t>
        </is>
      </c>
      <c r="C176" s="9" t="n"/>
      <c r="D176" s="4">
        <f>IF(AND(A176&lt;=TODAY(),C176=""),$C$2,0)</f>
        <v/>
      </c>
      <c r="E176" s="2" t="n"/>
      <c r="F176" s="2" t="n"/>
      <c r="G176" s="4">
        <f>D176+E176</f>
        <v/>
      </c>
      <c r="H176" s="4">
        <f>IF(A176&gt;TODAY(),"",N(H175)+G176-F176)</f>
        <v/>
      </c>
    </row>
    <row r="177">
      <c r="A177" s="8" t="n">
        <v>46504</v>
      </c>
      <c r="B177" t="inlineStr">
        <is>
          <t>Вт</t>
        </is>
      </c>
      <c r="C177" s="9" t="n"/>
      <c r="D177" s="4">
        <f>IF(AND(A177&lt;=TODAY(),C177=""),$C$2,0)</f>
        <v/>
      </c>
      <c r="E177" s="2" t="n"/>
      <c r="F177" s="2" t="n"/>
      <c r="G177" s="4">
        <f>D177+E177</f>
        <v/>
      </c>
      <c r="H177" s="4">
        <f>IF(A177&gt;TODAY(),"",N(H176)+G177-F177)</f>
        <v/>
      </c>
    </row>
    <row r="178">
      <c r="A178" s="8" t="n">
        <v>46505</v>
      </c>
      <c r="B178" t="inlineStr">
        <is>
          <t>Ср</t>
        </is>
      </c>
      <c r="C178" s="9" t="n"/>
      <c r="D178" s="4">
        <f>IF(AND(A178&lt;=TODAY(),C178=""),$C$2,0)</f>
        <v/>
      </c>
      <c r="E178" s="2" t="n"/>
      <c r="F178" s="2" t="n"/>
      <c r="G178" s="4">
        <f>D178+E178</f>
        <v/>
      </c>
      <c r="H178" s="4">
        <f>IF(A178&gt;TODAY(),"",N(H177)+G178-F178)</f>
        <v/>
      </c>
    </row>
    <row r="179">
      <c r="A179" s="8" t="n">
        <v>46506</v>
      </c>
      <c r="B179" t="inlineStr">
        <is>
          <t>Чт</t>
        </is>
      </c>
      <c r="C179" s="9" t="n"/>
      <c r="D179" s="4">
        <f>IF(AND(A179&lt;=TODAY(),C179=""),$C$2,0)</f>
        <v/>
      </c>
      <c r="E179" s="2" t="n"/>
      <c r="F179" s="2" t="n"/>
      <c r="G179" s="4">
        <f>D179+E179</f>
        <v/>
      </c>
      <c r="H179" s="4">
        <f>IF(A179&gt;TODAY(),"",N(H178)+G179-F179)</f>
        <v/>
      </c>
    </row>
    <row r="180">
      <c r="A180" s="8" t="n">
        <v>46507</v>
      </c>
      <c r="B180" t="inlineStr">
        <is>
          <t>Пт</t>
        </is>
      </c>
      <c r="C180" s="9" t="n"/>
      <c r="D180" s="4">
        <f>IF(AND(A180&lt;=TODAY(),C180=""),$C$2,0)</f>
        <v/>
      </c>
      <c r="E180" s="2" t="n"/>
      <c r="F180" s="2" t="n"/>
      <c r="G180" s="4">
        <f>D180+E180</f>
        <v/>
      </c>
      <c r="H180" s="4">
        <f>IF(A180&gt;TODAY(),"",N(H179)+G180-F180)</f>
        <v/>
      </c>
    </row>
    <row r="181">
      <c r="A181" s="8" t="n">
        <v>46510</v>
      </c>
      <c r="B181" t="inlineStr">
        <is>
          <t>Пн</t>
        </is>
      </c>
      <c r="C181" s="9" t="n"/>
      <c r="D181" s="4">
        <f>IF(AND(A181&lt;=TODAY(),C181=""),$C$2,0)</f>
        <v/>
      </c>
      <c r="E181" s="2" t="n"/>
      <c r="F181" s="2" t="n"/>
      <c r="G181" s="4">
        <f>D181+E181</f>
        <v/>
      </c>
      <c r="H181" s="4">
        <f>IF(A181&gt;TODAY(),"",N(H180)+G181-F181)</f>
        <v/>
      </c>
    </row>
    <row r="182">
      <c r="A182" s="8" t="n">
        <v>46511</v>
      </c>
      <c r="B182" t="inlineStr">
        <is>
          <t>Вт</t>
        </is>
      </c>
      <c r="C182" s="9" t="n"/>
      <c r="D182" s="4">
        <f>IF(AND(A182&lt;=TODAY(),C182=""),$C$2,0)</f>
        <v/>
      </c>
      <c r="E182" s="2" t="n"/>
      <c r="F182" s="2" t="n"/>
      <c r="G182" s="4">
        <f>D182+E182</f>
        <v/>
      </c>
      <c r="H182" s="4">
        <f>IF(A182&gt;TODAY(),"",N(H181)+G182-F182)</f>
        <v/>
      </c>
    </row>
    <row r="183">
      <c r="A183" s="8" t="n">
        <v>46512</v>
      </c>
      <c r="B183" t="inlineStr">
        <is>
          <t>Ср</t>
        </is>
      </c>
      <c r="C183" s="9" t="n"/>
      <c r="D183" s="4">
        <f>IF(AND(A183&lt;=TODAY(),C183=""),$C$2,0)</f>
        <v/>
      </c>
      <c r="E183" s="2" t="n"/>
      <c r="F183" s="2" t="n"/>
      <c r="G183" s="4">
        <f>D183+E183</f>
        <v/>
      </c>
      <c r="H183" s="4">
        <f>IF(A183&gt;TODAY(),"",N(H182)+G183-F183)</f>
        <v/>
      </c>
    </row>
    <row r="184">
      <c r="A184" s="8" t="n">
        <v>46513</v>
      </c>
      <c r="B184" t="inlineStr">
        <is>
          <t>Чт</t>
        </is>
      </c>
      <c r="C184" s="9" t="n"/>
      <c r="D184" s="4">
        <f>IF(AND(A184&lt;=TODAY(),C184=""),$C$2,0)</f>
        <v/>
      </c>
      <c r="E184" s="2" t="n"/>
      <c r="F184" s="2" t="n"/>
      <c r="G184" s="4">
        <f>D184+E184</f>
        <v/>
      </c>
      <c r="H184" s="4">
        <f>IF(A184&gt;TODAY(),"",N(H183)+G184-F184)</f>
        <v/>
      </c>
    </row>
    <row r="185">
      <c r="A185" s="8" t="n">
        <v>46514</v>
      </c>
      <c r="B185" t="inlineStr">
        <is>
          <t>Пт</t>
        </is>
      </c>
      <c r="C185" s="9" t="n"/>
      <c r="D185" s="4">
        <f>IF(AND(A185&lt;=TODAY(),C185=""),$C$2,0)</f>
        <v/>
      </c>
      <c r="E185" s="2" t="n"/>
      <c r="F185" s="2" t="n"/>
      <c r="G185" s="4">
        <f>D185+E185</f>
        <v/>
      </c>
      <c r="H185" s="4">
        <f>IF(A185&gt;TODAY(),"",N(H184)+G185-F185)</f>
        <v/>
      </c>
    </row>
    <row r="186">
      <c r="A186" s="8" t="n">
        <v>46517</v>
      </c>
      <c r="B186" t="inlineStr">
        <is>
          <t>Пн</t>
        </is>
      </c>
      <c r="C186" s="9" t="n"/>
      <c r="D186" s="4">
        <f>IF(AND(A186&lt;=TODAY(),C186=""),$C$2,0)</f>
        <v/>
      </c>
      <c r="E186" s="2" t="n"/>
      <c r="F186" s="2" t="n"/>
      <c r="G186" s="4">
        <f>D186+E186</f>
        <v/>
      </c>
      <c r="H186" s="4">
        <f>IF(A186&gt;TODAY(),"",N(H185)+G186-F186)</f>
        <v/>
      </c>
    </row>
    <row r="187">
      <c r="A187" s="8" t="n">
        <v>46518</v>
      </c>
      <c r="B187" t="inlineStr">
        <is>
          <t>Вт</t>
        </is>
      </c>
      <c r="C187" s="9" t="n"/>
      <c r="D187" s="4">
        <f>IF(AND(A187&lt;=TODAY(),C187=""),$C$2,0)</f>
        <v/>
      </c>
      <c r="E187" s="2" t="n"/>
      <c r="F187" s="2" t="n"/>
      <c r="G187" s="4">
        <f>D187+E187</f>
        <v/>
      </c>
      <c r="H187" s="4">
        <f>IF(A187&gt;TODAY(),"",N(H186)+G187-F187)</f>
        <v/>
      </c>
    </row>
    <row r="188">
      <c r="A188" s="8" t="n">
        <v>46519</v>
      </c>
      <c r="B188" t="inlineStr">
        <is>
          <t>Ср</t>
        </is>
      </c>
      <c r="C188" s="9" t="n"/>
      <c r="D188" s="4">
        <f>IF(AND(A188&lt;=TODAY(),C188=""),$C$2,0)</f>
        <v/>
      </c>
      <c r="E188" s="2" t="n"/>
      <c r="F188" s="2" t="n"/>
      <c r="G188" s="4">
        <f>D188+E188</f>
        <v/>
      </c>
      <c r="H188" s="4">
        <f>IF(A188&gt;TODAY(),"",N(H187)+G188-F188)</f>
        <v/>
      </c>
    </row>
    <row r="189">
      <c r="A189" s="8" t="n">
        <v>46520</v>
      </c>
      <c r="B189" t="inlineStr">
        <is>
          <t>Чт</t>
        </is>
      </c>
      <c r="C189" s="9" t="n"/>
      <c r="D189" s="4">
        <f>IF(AND(A189&lt;=TODAY(),C189=""),$C$2,0)</f>
        <v/>
      </c>
      <c r="E189" s="2" t="n"/>
      <c r="F189" s="2" t="n"/>
      <c r="G189" s="4">
        <f>D189+E189</f>
        <v/>
      </c>
      <c r="H189" s="4">
        <f>IF(A189&gt;TODAY(),"",N(H188)+G189-F189)</f>
        <v/>
      </c>
    </row>
    <row r="190">
      <c r="A190" s="8" t="n">
        <v>46521</v>
      </c>
      <c r="B190" t="inlineStr">
        <is>
          <t>Пт</t>
        </is>
      </c>
      <c r="C190" s="9" t="n"/>
      <c r="D190" s="4">
        <f>IF(AND(A190&lt;=TODAY(),C190=""),$C$2,0)</f>
        <v/>
      </c>
      <c r="E190" s="2" t="n"/>
      <c r="F190" s="2" t="n"/>
      <c r="G190" s="4">
        <f>D190+E190</f>
        <v/>
      </c>
      <c r="H190" s="4">
        <f>IF(A190&gt;TODAY(),"",N(H189)+G190-F190)</f>
        <v/>
      </c>
    </row>
    <row r="191">
      <c r="A191" s="8" t="n">
        <v>46524</v>
      </c>
      <c r="B191" t="inlineStr">
        <is>
          <t>Пн</t>
        </is>
      </c>
      <c r="C191" s="9" t="n"/>
      <c r="D191" s="4">
        <f>IF(AND(A191&lt;=TODAY(),C191=""),$C$2,0)</f>
        <v/>
      </c>
      <c r="E191" s="2" t="n"/>
      <c r="F191" s="2" t="n"/>
      <c r="G191" s="4">
        <f>D191+E191</f>
        <v/>
      </c>
      <c r="H191" s="4">
        <f>IF(A191&gt;TODAY(),"",N(H190)+G191-F191)</f>
        <v/>
      </c>
    </row>
    <row r="192">
      <c r="A192" s="8" t="n">
        <v>46525</v>
      </c>
      <c r="B192" t="inlineStr">
        <is>
          <t>Вт</t>
        </is>
      </c>
      <c r="C192" s="9" t="n"/>
      <c r="D192" s="4">
        <f>IF(AND(A192&lt;=TODAY(),C192=""),$C$2,0)</f>
        <v/>
      </c>
      <c r="E192" s="2" t="n"/>
      <c r="F192" s="2" t="n"/>
      <c r="G192" s="4">
        <f>D192+E192</f>
        <v/>
      </c>
      <c r="H192" s="4">
        <f>IF(A192&gt;TODAY(),"",N(H191)+G192-F192)</f>
        <v/>
      </c>
    </row>
    <row r="193">
      <c r="A193" s="8" t="n">
        <v>46526</v>
      </c>
      <c r="B193" t="inlineStr">
        <is>
          <t>Ср</t>
        </is>
      </c>
      <c r="C193" s="9" t="n"/>
      <c r="D193" s="4">
        <f>IF(AND(A193&lt;=TODAY(),C193=""),$C$2,0)</f>
        <v/>
      </c>
      <c r="E193" s="2" t="n"/>
      <c r="F193" s="2" t="n"/>
      <c r="G193" s="4">
        <f>D193+E193</f>
        <v/>
      </c>
      <c r="H193" s="4">
        <f>IF(A193&gt;TODAY(),"",N(H192)+G193-F193)</f>
        <v/>
      </c>
    </row>
    <row r="194">
      <c r="A194" s="8" t="n">
        <v>46527</v>
      </c>
      <c r="B194" t="inlineStr">
        <is>
          <t>Чт</t>
        </is>
      </c>
      <c r="C194" s="9" t="n"/>
      <c r="D194" s="4">
        <f>IF(AND(A194&lt;=TODAY(),C194=""),$C$2,0)</f>
        <v/>
      </c>
      <c r="E194" s="2" t="n"/>
      <c r="F194" s="2" t="n"/>
      <c r="G194" s="4">
        <f>D194+E194</f>
        <v/>
      </c>
      <c r="H194" s="4">
        <f>IF(A194&gt;TODAY(),"",N(H193)+G194-F194)</f>
        <v/>
      </c>
    </row>
    <row r="195">
      <c r="A195" s="8" t="n">
        <v>46528</v>
      </c>
      <c r="B195" t="inlineStr">
        <is>
          <t>Пт</t>
        </is>
      </c>
      <c r="C195" s="9" t="n"/>
      <c r="D195" s="4">
        <f>IF(AND(A195&lt;=TODAY(),C195=""),$C$2,0)</f>
        <v/>
      </c>
      <c r="E195" s="2" t="n"/>
      <c r="F195" s="2" t="n"/>
      <c r="G195" s="4">
        <f>D195+E195</f>
        <v/>
      </c>
      <c r="H195" s="4">
        <f>IF(A195&gt;TODAY(),"",N(H194)+G195-F195)</f>
        <v/>
      </c>
    </row>
    <row r="196">
      <c r="A196" s="8" t="n">
        <v>46531</v>
      </c>
      <c r="B196" t="inlineStr">
        <is>
          <t>Пн</t>
        </is>
      </c>
      <c r="C196" s="9" t="n"/>
      <c r="D196" s="4">
        <f>IF(AND(A196&lt;=TODAY(),C196=""),$C$2,0)</f>
        <v/>
      </c>
      <c r="E196" s="2" t="n"/>
      <c r="F196" s="2" t="n"/>
      <c r="G196" s="4">
        <f>D196+E196</f>
        <v/>
      </c>
      <c r="H196" s="4">
        <f>IF(A196&gt;TODAY(),"",N(H195)+G196-F196)</f>
        <v/>
      </c>
    </row>
    <row r="197">
      <c r="A197" s="8" t="n">
        <v>46532</v>
      </c>
      <c r="B197" t="inlineStr">
        <is>
          <t>Вт</t>
        </is>
      </c>
      <c r="C197" s="9" t="n"/>
      <c r="D197" s="4">
        <f>IF(AND(A197&lt;=TODAY(),C197=""),$C$2,0)</f>
        <v/>
      </c>
      <c r="E197" s="2" t="n"/>
      <c r="F197" s="2" t="n"/>
      <c r="G197" s="4">
        <f>D197+E197</f>
        <v/>
      </c>
      <c r="H197" s="4">
        <f>IF(A197&gt;TODAY(),"",N(H196)+G197-F197)</f>
        <v/>
      </c>
    </row>
    <row r="198">
      <c r="A198" s="8" t="n">
        <v>46533</v>
      </c>
      <c r="B198" t="inlineStr">
        <is>
          <t>Ср</t>
        </is>
      </c>
      <c r="C198" s="9" t="n"/>
      <c r="D198" s="4">
        <f>IF(AND(A198&lt;=TODAY(),C198=""),$C$2,0)</f>
        <v/>
      </c>
      <c r="E198" s="2" t="n"/>
      <c r="F198" s="2" t="n"/>
      <c r="G198" s="4">
        <f>D198+E198</f>
        <v/>
      </c>
      <c r="H198" s="4">
        <f>IF(A198&gt;TODAY(),"",N(H197)+G198-F198)</f>
        <v/>
      </c>
    </row>
    <row r="199">
      <c r="A199" s="8" t="n">
        <v>46534</v>
      </c>
      <c r="B199" t="inlineStr">
        <is>
          <t>Чт</t>
        </is>
      </c>
      <c r="C199" s="9" t="n"/>
      <c r="D199" s="4">
        <f>IF(AND(A199&lt;=TODAY(),C199=""),$C$2,0)</f>
        <v/>
      </c>
      <c r="E199" s="2" t="n"/>
      <c r="F199" s="2" t="n"/>
      <c r="G199" s="4">
        <f>D199+E199</f>
        <v/>
      </c>
      <c r="H199" s="4">
        <f>IF(A199&gt;TODAY(),"",N(H198)+G199-F199)</f>
        <v/>
      </c>
    </row>
    <row r="200">
      <c r="A200" s="8" t="n">
        <v>46535</v>
      </c>
      <c r="B200" t="inlineStr">
        <is>
          <t>Пт</t>
        </is>
      </c>
      <c r="C200" s="9" t="n"/>
      <c r="D200" s="4">
        <f>IF(AND(A200&lt;=TODAY(),C200=""),$C$2,0)</f>
        <v/>
      </c>
      <c r="E200" s="2" t="n"/>
      <c r="F200" s="2" t="n"/>
      <c r="G200" s="4">
        <f>D200+E200</f>
        <v/>
      </c>
      <c r="H200" s="4">
        <f>IF(A200&gt;TODAY(),"",N(H199)+G200-F200)</f>
        <v/>
      </c>
    </row>
    <row r="201">
      <c r="A201" s="8" t="n">
        <v>46538</v>
      </c>
      <c r="B201" t="inlineStr">
        <is>
          <t>Пн</t>
        </is>
      </c>
      <c r="C201" s="9" t="n"/>
      <c r="D201" s="4">
        <f>IF(AND(A201&lt;=TODAY(),C201=""),$C$2,0)</f>
        <v/>
      </c>
      <c r="E201" s="2" t="n"/>
      <c r="F201" s="2" t="n"/>
      <c r="G201" s="4">
        <f>D201+E201</f>
        <v/>
      </c>
      <c r="H201" s="4">
        <f>IF(A201&gt;TODAY(),"",N(H200)+G201-F201)</f>
        <v/>
      </c>
    </row>
    <row r="202">
      <c r="A202" s="8" t="n">
        <v>46539</v>
      </c>
      <c r="B202" t="inlineStr">
        <is>
          <t>Вт</t>
        </is>
      </c>
      <c r="C202" s="9" t="n"/>
      <c r="D202" s="4">
        <f>IF(AND(A202&lt;=TODAY(),C202=""),$C$2,0)</f>
        <v/>
      </c>
      <c r="E202" s="2" t="n"/>
      <c r="F202" s="2" t="n"/>
      <c r="G202" s="4">
        <f>D202+E202</f>
        <v/>
      </c>
      <c r="H202" s="4">
        <f>IF(A202&gt;TODAY(),"",N(H201)+G202-F202)</f>
        <v/>
      </c>
    </row>
    <row r="203">
      <c r="A203" s="8" t="n">
        <v>46540</v>
      </c>
      <c r="B203" t="inlineStr">
        <is>
          <t>Ср</t>
        </is>
      </c>
      <c r="C203" s="9" t="n"/>
      <c r="D203" s="4">
        <f>IF(AND(A203&lt;=TODAY(),C203=""),$C$2,0)</f>
        <v/>
      </c>
      <c r="E203" s="2" t="n"/>
      <c r="F203" s="2" t="n"/>
      <c r="G203" s="4">
        <f>D203+E203</f>
        <v/>
      </c>
      <c r="H203" s="4">
        <f>IF(A203&gt;TODAY(),"",N(H202)+G203-F203)</f>
        <v/>
      </c>
    </row>
    <row r="204">
      <c r="A204" s="8" t="n">
        <v>46541</v>
      </c>
      <c r="B204" t="inlineStr">
        <is>
          <t>Чт</t>
        </is>
      </c>
      <c r="C204" s="9" t="n"/>
      <c r="D204" s="4">
        <f>IF(AND(A204&lt;=TODAY(),C204=""),$C$2,0)</f>
        <v/>
      </c>
      <c r="E204" s="2" t="n"/>
      <c r="F204" s="2" t="n"/>
      <c r="G204" s="4">
        <f>D204+E204</f>
        <v/>
      </c>
      <c r="H204" s="4">
        <f>IF(A204&gt;TODAY(),"",N(H203)+G204-F204)</f>
        <v/>
      </c>
    </row>
    <row r="205">
      <c r="A205" s="8" t="n">
        <v>46542</v>
      </c>
      <c r="B205" t="inlineStr">
        <is>
          <t>Пт</t>
        </is>
      </c>
      <c r="C205" s="9" t="n"/>
      <c r="D205" s="4">
        <f>IF(AND(A205&lt;=TODAY(),C205=""),$C$2,0)</f>
        <v/>
      </c>
      <c r="E205" s="2" t="n"/>
      <c r="F205" s="2" t="n"/>
      <c r="G205" s="4">
        <f>D205+E205</f>
        <v/>
      </c>
      <c r="H205" s="4">
        <f>IF(A205&gt;TODAY(),"",N(H204)+G205-F205)</f>
        <v/>
      </c>
    </row>
    <row r="206">
      <c r="A206" s="8" t="n">
        <v>46545</v>
      </c>
      <c r="B206" t="inlineStr">
        <is>
          <t>Пн</t>
        </is>
      </c>
      <c r="C206" s="9" t="n"/>
      <c r="D206" s="4">
        <f>IF(AND(A206&lt;=TODAY(),C206=""),$C$2,0)</f>
        <v/>
      </c>
      <c r="E206" s="2" t="n"/>
      <c r="F206" s="2" t="n"/>
      <c r="G206" s="4">
        <f>D206+E206</f>
        <v/>
      </c>
      <c r="H206" s="4">
        <f>IF(A206&gt;TODAY(),"",N(H205)+G206-F206)</f>
        <v/>
      </c>
    </row>
    <row r="207">
      <c r="A207" s="8" t="n">
        <v>46546</v>
      </c>
      <c r="B207" t="inlineStr">
        <is>
          <t>Вт</t>
        </is>
      </c>
      <c r="C207" s="9" t="n"/>
      <c r="D207" s="4">
        <f>IF(AND(A207&lt;=TODAY(),C207=""),$C$2,0)</f>
        <v/>
      </c>
      <c r="E207" s="2" t="n"/>
      <c r="F207" s="2" t="n"/>
      <c r="G207" s="4">
        <f>D207+E207</f>
        <v/>
      </c>
      <c r="H207" s="4">
        <f>IF(A207&gt;TODAY(),"",N(H206)+G207-F207)</f>
        <v/>
      </c>
    </row>
    <row r="208">
      <c r="A208" s="8" t="n">
        <v>46547</v>
      </c>
      <c r="B208" t="inlineStr">
        <is>
          <t>Ср</t>
        </is>
      </c>
      <c r="C208" s="9" t="n"/>
      <c r="D208" s="4">
        <f>IF(AND(A208&lt;=TODAY(),C208=""),$C$2,0)</f>
        <v/>
      </c>
      <c r="E208" s="2" t="n"/>
      <c r="F208" s="2" t="n"/>
      <c r="G208" s="4">
        <f>D208+E208</f>
        <v/>
      </c>
      <c r="H208" s="4">
        <f>IF(A208&gt;TODAY(),"",N(H207)+G208-F208)</f>
        <v/>
      </c>
    </row>
    <row r="209">
      <c r="A209" s="8" t="n">
        <v>46548</v>
      </c>
      <c r="B209" t="inlineStr">
        <is>
          <t>Чт</t>
        </is>
      </c>
      <c r="C209" s="9" t="n"/>
      <c r="D209" s="4">
        <f>IF(AND(A209&lt;=TODAY(),C209=""),$C$2,0)</f>
        <v/>
      </c>
      <c r="E209" s="2" t="n"/>
      <c r="F209" s="2" t="n"/>
      <c r="G209" s="4">
        <f>D209+E209</f>
        <v/>
      </c>
      <c r="H209" s="4">
        <f>IF(A209&gt;TODAY(),"",N(H208)+G209-F209)</f>
        <v/>
      </c>
    </row>
    <row r="210">
      <c r="A210" s="8" t="n">
        <v>46549</v>
      </c>
      <c r="B210" t="inlineStr">
        <is>
          <t>Пт</t>
        </is>
      </c>
      <c r="C210" s="9" t="n"/>
      <c r="D210" s="4">
        <f>IF(AND(A210&lt;=TODAY(),C210=""),$C$2,0)</f>
        <v/>
      </c>
      <c r="E210" s="2" t="n"/>
      <c r="F210" s="2" t="n"/>
      <c r="G210" s="4">
        <f>D210+E210</f>
        <v/>
      </c>
      <c r="H210" s="4">
        <f>IF(A210&gt;TODAY(),"",N(H209)+G210-F210)</f>
        <v/>
      </c>
    </row>
    <row r="211">
      <c r="A211" s="8" t="n">
        <v>46552</v>
      </c>
      <c r="B211" t="inlineStr">
        <is>
          <t>Пн</t>
        </is>
      </c>
      <c r="C211" s="9" t="n"/>
      <c r="D211" s="4">
        <f>IF(AND(A211&lt;=TODAY(),C211=""),$C$2,0)</f>
        <v/>
      </c>
      <c r="E211" s="2" t="n"/>
      <c r="F211" s="2" t="n"/>
      <c r="G211" s="4">
        <f>D211+E211</f>
        <v/>
      </c>
      <c r="H211" s="4">
        <f>IF(A211&gt;TODAY(),"",N(H210)+G211-F211)</f>
        <v/>
      </c>
    </row>
    <row r="212">
      <c r="A212" s="8" t="n">
        <v>46553</v>
      </c>
      <c r="B212" t="inlineStr">
        <is>
          <t>Вт</t>
        </is>
      </c>
      <c r="C212" s="9" t="n"/>
      <c r="D212" s="4">
        <f>IF(AND(A212&lt;=TODAY(),C212=""),$C$2,0)</f>
        <v/>
      </c>
      <c r="E212" s="2" t="n"/>
      <c r="F212" s="2" t="n"/>
      <c r="G212" s="4">
        <f>D212+E212</f>
        <v/>
      </c>
      <c r="H212" s="4">
        <f>IF(A212&gt;TODAY(),"",N(H211)+G212-F212)</f>
        <v/>
      </c>
    </row>
    <row r="213">
      <c r="A213" s="8" t="n">
        <v>46554</v>
      </c>
      <c r="B213" t="inlineStr">
        <is>
          <t>Ср</t>
        </is>
      </c>
      <c r="C213" s="9" t="n"/>
      <c r="D213" s="4">
        <f>IF(AND(A213&lt;=TODAY(),C213=""),$C$2,0)</f>
        <v/>
      </c>
      <c r="E213" s="2" t="n"/>
      <c r="F213" s="2" t="n"/>
      <c r="G213" s="4">
        <f>D213+E213</f>
        <v/>
      </c>
      <c r="H213" s="4">
        <f>IF(A213&gt;TODAY(),"",N(H212)+G213-F213)</f>
        <v/>
      </c>
    </row>
    <row r="214">
      <c r="A214" s="8" t="n">
        <v>46555</v>
      </c>
      <c r="B214" t="inlineStr">
        <is>
          <t>Чт</t>
        </is>
      </c>
      <c r="C214" s="9" t="n"/>
      <c r="D214" s="4">
        <f>IF(AND(A214&lt;=TODAY(),C214=""),$C$2,0)</f>
        <v/>
      </c>
      <c r="E214" s="2" t="n"/>
      <c r="F214" s="2" t="n"/>
      <c r="G214" s="4">
        <f>D214+E214</f>
        <v/>
      </c>
      <c r="H214" s="4">
        <f>IF(A214&gt;TODAY(),"",N(H213)+G214-F214)</f>
        <v/>
      </c>
    </row>
    <row r="215">
      <c r="A215" s="8" t="n">
        <v>46556</v>
      </c>
      <c r="B215" t="inlineStr">
        <is>
          <t>Пт</t>
        </is>
      </c>
      <c r="C215" s="9" t="n"/>
      <c r="D215" s="4">
        <f>IF(AND(A215&lt;=TODAY(),C215=""),$C$2,0)</f>
        <v/>
      </c>
      <c r="E215" s="2" t="n"/>
      <c r="F215" s="2" t="n"/>
      <c r="G215" s="4">
        <f>D215+E215</f>
        <v/>
      </c>
      <c r="H215" s="4">
        <f>IF(A215&gt;TODAY(),"",N(H214)+G215-F215)</f>
        <v/>
      </c>
    </row>
    <row r="216">
      <c r="A216" s="8" t="n">
        <v>46559</v>
      </c>
      <c r="B216" t="inlineStr">
        <is>
          <t>Пн</t>
        </is>
      </c>
      <c r="C216" s="9" t="n"/>
      <c r="D216" s="4">
        <f>IF(AND(A216&lt;=TODAY(),C216=""),$C$2,0)</f>
        <v/>
      </c>
      <c r="E216" s="2" t="n"/>
      <c r="F216" s="2" t="n"/>
      <c r="G216" s="4">
        <f>D216+E216</f>
        <v/>
      </c>
      <c r="H216" s="4">
        <f>IF(A216&gt;TODAY(),"",N(H215)+G216-F216)</f>
        <v/>
      </c>
    </row>
    <row r="217">
      <c r="A217" s="8" t="n">
        <v>46560</v>
      </c>
      <c r="B217" t="inlineStr">
        <is>
          <t>Вт</t>
        </is>
      </c>
      <c r="C217" s="9" t="n"/>
      <c r="D217" s="4">
        <f>IF(AND(A217&lt;=TODAY(),C217=""),$C$2,0)</f>
        <v/>
      </c>
      <c r="E217" s="2" t="n"/>
      <c r="F217" s="2" t="n"/>
      <c r="G217" s="4">
        <f>D217+E217</f>
        <v/>
      </c>
      <c r="H217" s="4">
        <f>IF(A217&gt;TODAY(),"",N(H216)+G217-F217)</f>
        <v/>
      </c>
    </row>
    <row r="218">
      <c r="A218" s="8" t="n">
        <v>46561</v>
      </c>
      <c r="B218" t="inlineStr">
        <is>
          <t>Ср</t>
        </is>
      </c>
      <c r="C218" s="9" t="n"/>
      <c r="D218" s="4">
        <f>IF(AND(A218&lt;=TODAY(),C218=""),$C$2,0)</f>
        <v/>
      </c>
      <c r="E218" s="2" t="n"/>
      <c r="F218" s="2" t="n"/>
      <c r="G218" s="4">
        <f>D218+E218</f>
        <v/>
      </c>
      <c r="H218" s="4">
        <f>IF(A218&gt;TODAY(),"",N(H217)+G218-F218)</f>
        <v/>
      </c>
    </row>
    <row r="219">
      <c r="A219" s="8" t="n">
        <v>46562</v>
      </c>
      <c r="B219" t="inlineStr">
        <is>
          <t>Чт</t>
        </is>
      </c>
      <c r="C219" s="9" t="n"/>
      <c r="D219" s="4">
        <f>IF(AND(A219&lt;=TODAY(),C219=""),$C$2,0)</f>
        <v/>
      </c>
      <c r="E219" s="2" t="n"/>
      <c r="F219" s="2" t="n"/>
      <c r="G219" s="4">
        <f>D219+E219</f>
        <v/>
      </c>
      <c r="H219" s="4">
        <f>IF(A219&gt;TODAY(),"",N(H218)+G219-F219)</f>
        <v/>
      </c>
    </row>
    <row r="220">
      <c r="A220" s="8" t="n">
        <v>46563</v>
      </c>
      <c r="B220" t="inlineStr">
        <is>
          <t>Пт</t>
        </is>
      </c>
      <c r="C220" s="9" t="n"/>
      <c r="D220" s="4">
        <f>IF(AND(A220&lt;=TODAY(),C220=""),$C$2,0)</f>
        <v/>
      </c>
      <c r="E220" s="2" t="n"/>
      <c r="F220" s="2" t="n"/>
      <c r="G220" s="4">
        <f>D220+E220</f>
        <v/>
      </c>
      <c r="H220" s="4">
        <f>IF(A220&gt;TODAY(),"",N(H219)+G220-F220)</f>
        <v/>
      </c>
    </row>
    <row r="221">
      <c r="A221" s="8" t="n">
        <v>46566</v>
      </c>
      <c r="B221" t="inlineStr">
        <is>
          <t>Пн</t>
        </is>
      </c>
      <c r="C221" s="9" t="n"/>
      <c r="D221" s="4">
        <f>IF(AND(A221&lt;=TODAY(),C221=""),$C$2,0)</f>
        <v/>
      </c>
      <c r="E221" s="2" t="n"/>
      <c r="F221" s="2" t="n"/>
      <c r="G221" s="4">
        <f>D221+E221</f>
        <v/>
      </c>
      <c r="H221" s="4">
        <f>IF(A221&gt;TODAY(),"",N(H220)+G221-F221)</f>
        <v/>
      </c>
    </row>
    <row r="222">
      <c r="A222" s="8" t="n">
        <v>46567</v>
      </c>
      <c r="B222" t="inlineStr">
        <is>
          <t>Вт</t>
        </is>
      </c>
      <c r="C222" s="9" t="n"/>
      <c r="D222" s="4">
        <f>IF(AND(A222&lt;=TODAY(),C222=""),$C$2,0)</f>
        <v/>
      </c>
      <c r="E222" s="2" t="n"/>
      <c r="F222" s="2" t="n"/>
      <c r="G222" s="4">
        <f>D222+E222</f>
        <v/>
      </c>
      <c r="H222" s="4">
        <f>IF(A222&gt;TODAY(),"",N(H221)+G222-F222)</f>
        <v/>
      </c>
    </row>
    <row r="223">
      <c r="A223" s="8" t="n">
        <v>46568</v>
      </c>
      <c r="B223" t="inlineStr">
        <is>
          <t>Ср</t>
        </is>
      </c>
      <c r="C223" s="9" t="n"/>
      <c r="D223" s="4">
        <f>IF(AND(A223&lt;=TODAY(),C223=""),$C$2,0)</f>
        <v/>
      </c>
      <c r="E223" s="2" t="n"/>
      <c r="F223" s="2" t="n"/>
      <c r="G223" s="4">
        <f>D223+E223</f>
        <v/>
      </c>
      <c r="H223" s="4">
        <f>IF(A223&gt;TODAY(),"",N(H222)+G223-F223)</f>
        <v/>
      </c>
    </row>
  </sheetData>
  <conditionalFormatting sqref="A7:H223">
    <cfRule type="expression" priority="1" dxfId="0">
      <formula>$A7=TODAY()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2026-10-01T10:49:27Z</dcterms:created>
  <dcterms:modified xsi:type="dcterms:W3CDTF">2026-10-01T10:49:27Z</dcterms:modified>
</cp:coreProperties>
</file>